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5a4e3b6a67c1c100/바탕 화면/학교/01 스마트팩토리캡스톤디자인/프로젝트/타겟논문 2차/"/>
    </mc:Choice>
  </mc:AlternateContent>
  <xr:revisionPtr revIDLastSave="92" documentId="8_{ABFC3457-938D-4B45-82A0-43042E8D0DF2}" xr6:coauthVersionLast="47" xr6:coauthVersionMax="47" xr10:uidLastSave="{1E2A1232-31AE-4A4E-A125-F81B20495FB2}"/>
  <bookViews>
    <workbookView xWindow="19090" yWindow="-110" windowWidth="19420" windowHeight="11500" xr2:uid="{34698782-D750-476C-8AA1-00B5B725F5C9}"/>
  </bookViews>
  <sheets>
    <sheet name="Layout 설계 원리" sheetId="1" r:id="rId1"/>
    <sheet name="Room 범례" sheetId="3" r:id="rId2"/>
    <sheet name="제조장비 범례" sheetId="7" r:id="rId3"/>
    <sheet name="환기 횟수" sheetId="6" r:id="rId4"/>
    <sheet name="출입복장 규정"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 i="3" l="1"/>
  <c r="G41" i="3"/>
  <c r="G42" i="3"/>
  <c r="G43" i="3"/>
  <c r="G44" i="3"/>
  <c r="G45" i="3"/>
  <c r="G40" i="3"/>
  <c r="G38" i="3"/>
  <c r="G37" i="3"/>
  <c r="G36" i="3"/>
  <c r="G28" i="3"/>
  <c r="G29" i="3"/>
  <c r="G30" i="3"/>
  <c r="G31" i="3"/>
  <c r="G32" i="3"/>
  <c r="G33" i="3"/>
  <c r="G34" i="3"/>
  <c r="G35" i="3"/>
  <c r="G27" i="3"/>
  <c r="G25" i="3"/>
  <c r="G24" i="3"/>
  <c r="G23" i="3"/>
  <c r="G22" i="3"/>
  <c r="G21" i="3"/>
  <c r="G20" i="3"/>
  <c r="G19" i="3"/>
  <c r="G18" i="3"/>
  <c r="G17" i="3"/>
  <c r="G5" i="3"/>
  <c r="G6" i="3"/>
  <c r="G7" i="3"/>
  <c r="G9" i="3"/>
  <c r="G10" i="3"/>
  <c r="G11" i="3"/>
  <c r="G12" i="3"/>
  <c r="G13" i="3"/>
  <c r="G14" i="3"/>
  <c r="G15" i="3"/>
  <c r="G16" i="3"/>
  <c r="G4" i="3"/>
  <c r="G46" i="3" l="1"/>
</calcChain>
</file>

<file path=xl/sharedStrings.xml><?xml version="1.0" encoding="utf-8"?>
<sst xmlns="http://schemas.openxmlformats.org/spreadsheetml/2006/main" count="635" uniqueCount="244">
  <si>
    <t>Room 크기</t>
    <phoneticPr fontId="1" type="noConversion"/>
  </si>
  <si>
    <t>배지 제조</t>
    <phoneticPr fontId="1" type="noConversion"/>
  </si>
  <si>
    <t>버퍼 제조</t>
    <phoneticPr fontId="1" type="noConversion"/>
  </si>
  <si>
    <t>제조 장비</t>
    <phoneticPr fontId="1" type="noConversion"/>
  </si>
  <si>
    <t>Room 에 대한 청정등급의 부여</t>
    <phoneticPr fontId="1" type="noConversion"/>
  </si>
  <si>
    <t>제조 장비의 배치</t>
    <phoneticPr fontId="1" type="noConversion"/>
  </si>
  <si>
    <t>전실의 배열</t>
    <phoneticPr fontId="1" type="noConversion"/>
  </si>
  <si>
    <t>복도의 배열</t>
    <phoneticPr fontId="1" type="noConversion"/>
  </si>
  <si>
    <t>항목</t>
    <phoneticPr fontId="1" type="noConversion"/>
  </si>
  <si>
    <t>원리</t>
    <phoneticPr fontId="1" type="noConversion"/>
  </si>
  <si>
    <t>Room 의 배열</t>
    <phoneticPr fontId="1" type="noConversion"/>
  </si>
  <si>
    <t>Room 의 청정등급은 가이드라인 'EU GMP Annex 1' 을 따라 (1)Grade A, (2)Grade B, (3)Grade C, (4)Grade D, (5)CNC, (6)NC 로 구분한다. 바이알 충전과 같이 무균공정을 요구하는 공정의 barrier (Isolator, Rapps, Cleanbench, BSC 와 같은 laminar flow 층류장치)는 Grade A 를 적용한다. Grade A 층류 장치가 설치된, 둘러싼 Room 은 Grade B 로 적용한다. 주요 공정이 이루어지는 구역은 Grade C 또는 Grade D 를 적용한다. 만약 해당 Room 의 모든 제조공정이 외부와 밀폐된 폐쇄형 제조장비를 사용하는 경우 Grade D 를 적용할 수 있다. 배지 및 버퍼의 제조, 배양 공정, 정제 공정과 같은 주요 제조공정이 이루어 지지 않는 구역은 Grade D 또는 CNC 로 적용한다. Grade D 또는 CNC 청정등급은 자재의 보관 구역, 세척 구역, 갱의 구역, 공정검사 (IPC) 구역, 주요 제조공정 Room 이 아닌 지역의 사람 및 자재 등의 이동 통로에 적용한다. 제조행위 및 제조환경에 영향을 주지 않고 동선 상 상관없는 구역은 NC(None controlled area) 로 분류한다. Layout 에서 Room 의 배경색은 다음과 같이 표시하되, 제조 장비가 잘 보일 수 있도록 50% 투명하게 나타낸다. (1)Grade A: Green-diagnal Black, (2)Grade B: Green, (3)Grade C: yellow, (4)Grade D: Blue, (5)CNC: Gray-dotted Black, (6)NC: Gray</t>
    <phoneticPr fontId="1" type="noConversion"/>
  </si>
  <si>
    <t>제조 장비는 제조 공정이 진행되는 순서대로 배치하는 것이 바람직하며, 각 장비간 작업 및 청소 공간에 간섭이 없도록 충분한 공간을 두도록 하며 최소 1000mm 의 공간을 두는 것이 바람직하다. 제조 장비는 전기의 공급 및 가스 등 유틸리티의 공급이 유리한 벽면에 인접하여 설치를 하되 장비와 벽면의 청소 공간을 고려하여 최소 600mm~1200mm 정도의 공간을 띄우도록 설치한다. 만약, 천정형으로부터 전기 및 유틸리티를 공급받는 경우 장비를 벽면이 아닌 Room 중앙 부분에 설치할 수 있다.</t>
    <phoneticPr fontId="1" type="noConversion"/>
  </si>
  <si>
    <t xml:space="preserve">Layout 은 크게 공정 구역과 보조 구역으로 나눈다. 공정 구역은 직접 제조 행위가 발생하는 제조공정 Room 과 세척 및 준비실과 같이 제조 준비를 위한 Room, 인원과 material 의 반입 출입을 위하여 동선 상 필요한 Room (복도 포함) 으로 구성된다. 보조 구역은 cell bank, 공정물 (Drug substance 포함), 시약 및 자재의 보관을 위한 Room 들과 
공정 Room 의 배치는 제조공정의 흐름 (process flow) 을 우선으로 따른다. Room 내의 도어의 위치는 자재 및 사람의 출입실 동선이 짧은 위치에 설치한다. </t>
    <phoneticPr fontId="1" type="noConversion"/>
  </si>
  <si>
    <t>전체적 배열 컨셉</t>
    <phoneticPr fontId="1" type="noConversion"/>
  </si>
  <si>
    <t>NC 구역</t>
    <phoneticPr fontId="1" type="noConversion"/>
  </si>
  <si>
    <t>상대적으로 중요도가 떨어지는 NC 구역이지만, 화장실, 사무실, 모니터링 및 제어실과 같이 반드시 필요한 기능의 Room 의 경우 공정구역 및 보조구역의 전체적 형태에 방해가 되지 않도록 별도의 영역을 구분하여 배치하는 것이 바람직하다. 단, 사무실, 화장실, 휴게실, 중앙 제어실이 별도의 층 또는 건물에 설치할 계획이 있을 경우 생략할 수 있다.</t>
    <phoneticPr fontId="1" type="noConversion"/>
  </si>
  <si>
    <t>공정 구역</t>
    <phoneticPr fontId="1" type="noConversion"/>
  </si>
  <si>
    <t>보조 구역</t>
    <phoneticPr fontId="1" type="noConversion"/>
  </si>
  <si>
    <t>구분</t>
    <phoneticPr fontId="1" type="noConversion"/>
  </si>
  <si>
    <t>Room 명</t>
    <phoneticPr fontId="1" type="noConversion"/>
  </si>
  <si>
    <t>(영문명)</t>
    <phoneticPr fontId="1" type="noConversion"/>
  </si>
  <si>
    <t>Seed 접종실</t>
    <phoneticPr fontId="1" type="noConversion"/>
  </si>
  <si>
    <t>배양실</t>
    <phoneticPr fontId="1" type="noConversion"/>
  </si>
  <si>
    <t>Harvest</t>
    <phoneticPr fontId="1" type="noConversion"/>
  </si>
  <si>
    <t>Inoculation</t>
    <phoneticPr fontId="1" type="noConversion"/>
  </si>
  <si>
    <t>회수실</t>
    <phoneticPr fontId="1" type="noConversion"/>
  </si>
  <si>
    <t>정제실1</t>
    <phoneticPr fontId="1" type="noConversion"/>
  </si>
  <si>
    <t>정제실2</t>
    <phoneticPr fontId="1" type="noConversion"/>
  </si>
  <si>
    <t>Purification 1</t>
    <phoneticPr fontId="1" type="noConversion"/>
  </si>
  <si>
    <t>Purification 2</t>
  </si>
  <si>
    <t>배지 조제실</t>
    <phoneticPr fontId="1" type="noConversion"/>
  </si>
  <si>
    <t>버퍼 조제실</t>
    <phoneticPr fontId="1" type="noConversion"/>
  </si>
  <si>
    <t>Media preparation</t>
    <phoneticPr fontId="1" type="noConversion"/>
  </si>
  <si>
    <t>Buffer preparation</t>
    <phoneticPr fontId="1" type="noConversion"/>
  </si>
  <si>
    <t>공정 준비실</t>
    <phoneticPr fontId="1" type="noConversion"/>
  </si>
  <si>
    <t>Preparation</t>
    <phoneticPr fontId="1" type="noConversion"/>
  </si>
  <si>
    <t>세척실</t>
    <phoneticPr fontId="1" type="noConversion"/>
  </si>
  <si>
    <t>Washing</t>
    <phoneticPr fontId="1" type="noConversion"/>
  </si>
  <si>
    <t>청정등급
(Classification)</t>
    <phoneticPr fontId="1" type="noConversion"/>
  </si>
  <si>
    <t>Grade B 또는 Grade C</t>
    <phoneticPr fontId="1" type="noConversion"/>
  </si>
  <si>
    <t>Grade C 또는 Grade D</t>
    <phoneticPr fontId="1" type="noConversion"/>
  </si>
  <si>
    <t>Grade D 또는 CNC</t>
    <phoneticPr fontId="1" type="noConversion"/>
  </si>
  <si>
    <t>자재 보관실</t>
    <phoneticPr fontId="1" type="noConversion"/>
  </si>
  <si>
    <t>DS 보관실</t>
    <phoneticPr fontId="1" type="noConversion"/>
  </si>
  <si>
    <t>IPC 실</t>
    <phoneticPr fontId="1" type="noConversion"/>
  </si>
  <si>
    <t>Cell bank storage</t>
    <phoneticPr fontId="1" type="noConversion"/>
  </si>
  <si>
    <t>IPC</t>
    <phoneticPr fontId="1" type="noConversion"/>
  </si>
  <si>
    <t>DS storage</t>
    <phoneticPr fontId="1" type="noConversion"/>
  </si>
  <si>
    <t>Material storage</t>
    <phoneticPr fontId="1" type="noConversion"/>
  </si>
  <si>
    <t>세포주 보관실</t>
    <phoneticPr fontId="1" type="noConversion"/>
  </si>
  <si>
    <t>CIP 공급실</t>
    <phoneticPr fontId="1" type="noConversion"/>
  </si>
  <si>
    <t>CIP supply</t>
    <phoneticPr fontId="1" type="noConversion"/>
  </si>
  <si>
    <t>CNC 또는 NC</t>
    <phoneticPr fontId="1" type="noConversion"/>
  </si>
  <si>
    <t>장비 보관실</t>
    <phoneticPr fontId="1" type="noConversion"/>
  </si>
  <si>
    <t>Equipment storage</t>
    <phoneticPr fontId="1" type="noConversion"/>
  </si>
  <si>
    <t>착의실</t>
    <phoneticPr fontId="1" type="noConversion"/>
  </si>
  <si>
    <t>갱의실 (여)</t>
    <phoneticPr fontId="1" type="noConversion"/>
  </si>
  <si>
    <t>갱의실 (남)</t>
    <phoneticPr fontId="1" type="noConversion"/>
  </si>
  <si>
    <t xml:space="preserve">Gowning </t>
    <phoneticPr fontId="1" type="noConversion"/>
  </si>
  <si>
    <t xml:space="preserve">Gowning Female </t>
    <phoneticPr fontId="1" type="noConversion"/>
  </si>
  <si>
    <t xml:space="preserve">Gowning Male </t>
    <phoneticPr fontId="1" type="noConversion"/>
  </si>
  <si>
    <t>공급복도</t>
    <phoneticPr fontId="1" type="noConversion"/>
  </si>
  <si>
    <t>Supply corridor</t>
    <phoneticPr fontId="1" type="noConversion"/>
  </si>
  <si>
    <t>Return corridor</t>
    <phoneticPr fontId="1" type="noConversion"/>
  </si>
  <si>
    <t>세척실은 각 공정실의 Out 전실과 연결된 리턴복도와 경로가 통해 있으며, 세척실과 준비실은 인접하게 위치하여 패스쓰루 세척기 (Pass through COP) 를 공유하도록 배열한다. 주의할 점은 준비실은 공급복도와 경로가 통해 있기 때문에, 세척실과 준비실은 사람의 직접 왕래가 물리적으로 차단되어 있어야 한다.</t>
    <phoneticPr fontId="1" type="noConversion"/>
  </si>
  <si>
    <t>세척실과 준비실</t>
    <phoneticPr fontId="1" type="noConversion"/>
  </si>
  <si>
    <t>차압(DP) 규정</t>
    <phoneticPr fontId="1" type="noConversion"/>
  </si>
  <si>
    <t>각 Room 별로 차압을 표시한다. 차압은 Pa (pascal) 단위를 사용하며, 외부 대기압을 0 으로 기준하여, 각 Room 별 압력을 표시하여야 한다. 제조소의 Room 간 차압은 'EU GMP 가이드라인 Annex 1' 규정에 따라 교차 오염 방지를 위해 청정등급이 다른 Room 간에 최소 10~15Pa 의 압력차를 유지 필요하다. 더 높은 청정등급의 Room 은 인접한 낮은 등급의 Room 보다 높은 차압을 형성하도록 Room 의 급기와 배기를 조합하여야 한다. (Grade B &gt; Grad C &gt; Grade D &gt; CNC &gt; NC) 만약 동일한 청정등급의 Room 인 경우, 차압을 형성하지 않아도 되지만 만약 Virus Removal 전/후의 정제실1, 정제실2의 경우 같은 청정등급을 갖는 Room 이더라도 그 중요도에 따라 정제2실에 최소 0.5Pa 의 더 높은 차압을 정의할 수 있다.</t>
    <phoneticPr fontId="1" type="noConversion"/>
  </si>
  <si>
    <t>전실(AL, Air Lock)은 청정등급이 바뀌거나 공정 중요도 구분 필요한 두 Room 사이에 위치해야 한다. 하나의 공정 Room 기준으로 편도(one-way) flow 가 적용되는 경우는 입구의 반대편 위치에 출구가 별도로 위치해야 하며, 전실도 마찬가지로 입구의 전실과 출구의 전실이 각각 배치되어야 한다. 전실은 사람의 출입을 위한 PAL (Personel Air Lock) 과 자재 및 제품의 출입을 위한 MAL (Material Air Lock) 으로 구분하며 하나의 Room 에는 최대 총 4개의 전실(PAL-in, MAL-in, PAL-out, MAL-out)이 배열될 수 있다. Grade B 청정등급의 공정 Room 은 one-way flow 로서 4개의 전실이 필요하며, Grade C 청정등급의 공정 Room 은 만약 편도 동선 (one-way flow) 의 조건이 라면 전체 공간이 넉넉한 경우 총 4개의 전실이 가장 좋으나, 공간이 부족한 경우는 PAL과 MAL 이 통합된 AL-in, AL-out 의 2개의 전실도 가능하다. 만약 Room 이 양방향 flow 인 경우 하나의 AL 도 가능하다. 전실은 양쪽 Room 의 청정등급이 바뀌지 않거나 공정의 중요도 구분이 필요 없을 경우 배치하지 않아도 된다. 전실(Air Lock)은 인접한 Room 기준으로 더 높은 차압의 Room &gt; 전실 &gt; 더 낮은 차압의 Room 순서로 공기가 흐르는 (1) Cascade 타입, 양쪽 인접 Room 기준으로 더 낮은 압력을 형성하는 (2) Sink 타입과 양쪽 인접 Room 기준으로 더 높은 압력을 형성하는 (3) Bubble 타입의 전실(Air Lock) 을 적절히 선택할 수 있다. 예를 들어 Grade C 구역과 Grade D 구역 사이의 전실은 Cascade 흐름으로 Grade C → 전실 → Grade D 순서로 공기가 흐르도록 설계할 수 있으나, 만약 Grade C  구역의 공기가 Grade D 구역으로 흘러 들어가면 안되는 경우 (Biological safety 이유 등) 전실(Air Lock) 을 Sink 타입 또는 Bubble 타입으로 설치할 수 있다.</t>
    <phoneticPr fontId="1" type="noConversion"/>
  </si>
  <si>
    <t>전실</t>
    <phoneticPr fontId="1" type="noConversion"/>
  </si>
  <si>
    <t>Grade B 또는 Grade C 또는 Grade D</t>
    <phoneticPr fontId="1" type="noConversion"/>
  </si>
  <si>
    <t>CAL (Common Air Lock)</t>
    <phoneticPr fontId="1" type="noConversion"/>
  </si>
  <si>
    <t>CAL-in (Common Air Lock in)</t>
    <phoneticPr fontId="1" type="noConversion"/>
  </si>
  <si>
    <t>CAL-out (Common Air Lock out)</t>
    <phoneticPr fontId="1" type="noConversion"/>
  </si>
  <si>
    <t>MAL (Material Air Lock)</t>
    <phoneticPr fontId="1" type="noConversion"/>
  </si>
  <si>
    <t>MAL-in (Material Air Lock in)</t>
    <phoneticPr fontId="1" type="noConversion"/>
  </si>
  <si>
    <t>MAL-out (Material Air Lock out)</t>
    <phoneticPr fontId="1" type="noConversion"/>
  </si>
  <si>
    <t>PAL (Personnel Air Lock)</t>
    <phoneticPr fontId="1" type="noConversion"/>
  </si>
  <si>
    <t>PAL-in (Personnel Air Lock in)</t>
    <phoneticPr fontId="1" type="noConversion"/>
  </si>
  <si>
    <t>PAL-out (Personnel Air Lock out)</t>
    <phoneticPr fontId="1" type="noConversion"/>
  </si>
  <si>
    <t>복도</t>
    <phoneticPr fontId="1" type="noConversion"/>
  </si>
  <si>
    <t>Corridor</t>
    <phoneticPr fontId="1" type="noConversion"/>
  </si>
  <si>
    <t>단위 공정</t>
    <phoneticPr fontId="1" type="noConversion"/>
  </si>
  <si>
    <t>NC 구역</t>
    <phoneticPr fontId="1" type="noConversion"/>
  </si>
  <si>
    <t>사무실</t>
    <phoneticPr fontId="1" type="noConversion"/>
  </si>
  <si>
    <t>Office</t>
    <phoneticPr fontId="1" type="noConversion"/>
  </si>
  <si>
    <t>화장실 (여)</t>
    <phoneticPr fontId="1" type="noConversion"/>
  </si>
  <si>
    <t>화장실 (남)</t>
    <phoneticPr fontId="1" type="noConversion"/>
  </si>
  <si>
    <t>Toilet (Lady)</t>
    <phoneticPr fontId="1" type="noConversion"/>
  </si>
  <si>
    <t>Toilet (Gentleman)</t>
    <phoneticPr fontId="1" type="noConversion"/>
  </si>
  <si>
    <t>모니터링실</t>
    <phoneticPr fontId="1" type="noConversion"/>
  </si>
  <si>
    <t>Monitoring</t>
    <phoneticPr fontId="1" type="noConversion"/>
  </si>
  <si>
    <t>NC</t>
    <phoneticPr fontId="1" type="noConversion"/>
  </si>
  <si>
    <t>로비</t>
    <phoneticPr fontId="1" type="noConversion"/>
  </si>
  <si>
    <t>Lobby</t>
    <phoneticPr fontId="1" type="noConversion"/>
  </si>
  <si>
    <t>칭량</t>
    <phoneticPr fontId="1" type="noConversion"/>
  </si>
  <si>
    <t>ㅑ</t>
    <phoneticPr fontId="1" type="noConversion"/>
  </si>
  <si>
    <t>Weigh booth</t>
    <phoneticPr fontId="1" type="noConversion"/>
  </si>
  <si>
    <t>3000*3000*3000</t>
    <phoneticPr fontId="1" type="noConversion"/>
  </si>
  <si>
    <t>Mixing Tank 100L</t>
    <phoneticPr fontId="1" type="noConversion"/>
  </si>
  <si>
    <t>Mixing Tank 500L</t>
    <phoneticPr fontId="1" type="noConversion"/>
  </si>
  <si>
    <t>Mixing Tank 10,000L</t>
    <phoneticPr fontId="1" type="noConversion"/>
  </si>
  <si>
    <t>Mixing Tank 2,000L</t>
    <phoneticPr fontId="1" type="noConversion"/>
  </si>
  <si>
    <t>2000*2000*2000</t>
    <phoneticPr fontId="1" type="noConversion"/>
  </si>
  <si>
    <t>2500*2000*3000</t>
    <phoneticPr fontId="1" type="noConversion"/>
  </si>
  <si>
    <t>3000*2500*4000</t>
    <phoneticPr fontId="1" type="noConversion"/>
  </si>
  <si>
    <t>4000*3000*5000</t>
    <phoneticPr fontId="1" type="noConversion"/>
  </si>
  <si>
    <t>3500*3000*3000</t>
    <phoneticPr fontId="1" type="noConversion"/>
  </si>
  <si>
    <t>Mixing Tank 25,000L</t>
    <phoneticPr fontId="1" type="noConversion"/>
  </si>
  <si>
    <t>5000*3500*6000</t>
    <phoneticPr fontId="1" type="noConversion"/>
  </si>
  <si>
    <t>Cell bank 접종</t>
    <phoneticPr fontId="1" type="noConversion"/>
  </si>
  <si>
    <t>Isolator</t>
    <phoneticPr fontId="1" type="noConversion"/>
  </si>
  <si>
    <t>Flask 배양</t>
    <phoneticPr fontId="1" type="noConversion"/>
  </si>
  <si>
    <t>Incubator</t>
    <phoneticPr fontId="1" type="noConversion"/>
  </si>
  <si>
    <t>4000*2000*3000</t>
    <phoneticPr fontId="1" type="noConversion"/>
  </si>
  <si>
    <t>1200*800*600</t>
    <phoneticPr fontId="1" type="noConversion"/>
  </si>
  <si>
    <t>Centrifuge</t>
    <phoneticPr fontId="1" type="noConversion"/>
  </si>
  <si>
    <t>1000*600*500</t>
    <phoneticPr fontId="1" type="noConversion"/>
  </si>
  <si>
    <t>Cleanbench</t>
    <phoneticPr fontId="1" type="noConversion"/>
  </si>
  <si>
    <t>2000*800*2000</t>
    <phoneticPr fontId="1" type="noConversion"/>
  </si>
  <si>
    <t>주공정 구역</t>
    <phoneticPr fontId="1" type="noConversion"/>
  </si>
  <si>
    <t>중량 (kg)</t>
    <phoneticPr fontId="1" type="noConversion"/>
  </si>
  <si>
    <t>규격 (W*D*H mm)</t>
    <phoneticPr fontId="1" type="noConversion"/>
  </si>
  <si>
    <t>최대 운영 중량 (kg)</t>
    <phoneticPr fontId="1" type="noConversion"/>
  </si>
  <si>
    <t>배양 N-3</t>
    <phoneticPr fontId="1" type="noConversion"/>
  </si>
  <si>
    <t>배양 N-4</t>
    <phoneticPr fontId="1" type="noConversion"/>
  </si>
  <si>
    <t>배양 N-2</t>
    <phoneticPr fontId="1" type="noConversion"/>
  </si>
  <si>
    <t>배양 N-1</t>
    <phoneticPr fontId="1" type="noConversion"/>
  </si>
  <si>
    <t>생산 배양</t>
    <phoneticPr fontId="1" type="noConversion"/>
  </si>
  <si>
    <t>Wave Reactor 20L</t>
    <phoneticPr fontId="1" type="noConversion"/>
  </si>
  <si>
    <t>BioReactor 10,000L</t>
    <phoneticPr fontId="1" type="noConversion"/>
  </si>
  <si>
    <t>BioReactor 2,000L</t>
    <phoneticPr fontId="1" type="noConversion"/>
  </si>
  <si>
    <t>BioReactor 500L</t>
    <phoneticPr fontId="1" type="noConversion"/>
  </si>
  <si>
    <t>BioReactor 100L</t>
    <phoneticPr fontId="1" type="noConversion"/>
  </si>
  <si>
    <t>연속원심분리</t>
    <phoneticPr fontId="1" type="noConversion"/>
  </si>
  <si>
    <t>뎁스 필터</t>
    <phoneticPr fontId="1" type="noConversion"/>
  </si>
  <si>
    <t>Storage tank 2,000L</t>
    <phoneticPr fontId="1" type="noConversion"/>
  </si>
  <si>
    <t>Continuous centrifuge</t>
    <phoneticPr fontId="1" type="noConversion"/>
  </si>
  <si>
    <t>4000*3000*6000</t>
    <phoneticPr fontId="1" type="noConversion"/>
  </si>
  <si>
    <t>3000*2500*5000</t>
    <phoneticPr fontId="1" type="noConversion"/>
  </si>
  <si>
    <t>2500*2000*3500</t>
    <phoneticPr fontId="1" type="noConversion"/>
  </si>
  <si>
    <t>2000*2000*2500</t>
    <phoneticPr fontId="1" type="noConversion"/>
  </si>
  <si>
    <t>1200*600*800</t>
    <phoneticPr fontId="1" type="noConversion"/>
  </si>
  <si>
    <t xml:space="preserve">Cell Culture </t>
    <phoneticPr fontId="1" type="noConversion"/>
  </si>
  <si>
    <t>Depth filer system</t>
    <phoneticPr fontId="1" type="noConversion"/>
  </si>
  <si>
    <t>Depth filer system *2</t>
    <phoneticPr fontId="1" type="noConversion"/>
  </si>
  <si>
    <t>2000*600*1800</t>
    <phoneticPr fontId="1" type="noConversion"/>
  </si>
  <si>
    <t>Chromatography 1</t>
    <phoneticPr fontId="1" type="noConversion"/>
  </si>
  <si>
    <t>생산 배양 (Feed)</t>
    <phoneticPr fontId="1" type="noConversion"/>
  </si>
  <si>
    <t>Storage tank 10,000L</t>
    <phoneticPr fontId="1" type="noConversion"/>
  </si>
  <si>
    <t>3000*3000*5000</t>
    <phoneticPr fontId="1" type="noConversion"/>
  </si>
  <si>
    <t>Chromatography system</t>
    <phoneticPr fontId="1" type="noConversion"/>
  </si>
  <si>
    <t>2000*1200*2000</t>
    <phoneticPr fontId="1" type="noConversion"/>
  </si>
  <si>
    <t>Buffer tank 2000L</t>
    <phoneticPr fontId="1" type="noConversion"/>
  </si>
  <si>
    <t>Column 1500mm</t>
    <phoneticPr fontId="1" type="noConversion"/>
  </si>
  <si>
    <t>Buffer tank 4000L</t>
    <phoneticPr fontId="1" type="noConversion"/>
  </si>
  <si>
    <t>Buffer tank 1000L</t>
    <phoneticPr fontId="1" type="noConversion"/>
  </si>
  <si>
    <t>Storage tank 3000L</t>
    <phoneticPr fontId="1" type="noConversion"/>
  </si>
  <si>
    <t>Storage tank 4000L</t>
    <phoneticPr fontId="1" type="noConversion"/>
  </si>
  <si>
    <t>Chromatography 2</t>
  </si>
  <si>
    <t>Viral Inactivation</t>
    <phoneticPr fontId="1" type="noConversion"/>
  </si>
  <si>
    <t>Reactor 5000L</t>
    <phoneticPr fontId="1" type="noConversion"/>
  </si>
  <si>
    <t>Acid tank 200L</t>
    <phoneticPr fontId="1" type="noConversion"/>
  </si>
  <si>
    <t>Base tank 200L</t>
    <phoneticPr fontId="1" type="noConversion"/>
  </si>
  <si>
    <t>Column 1000mm</t>
    <phoneticPr fontId="1" type="noConversion"/>
  </si>
  <si>
    <t>Storage tank 8000L</t>
    <phoneticPr fontId="1" type="noConversion"/>
  </si>
  <si>
    <t>Storage tank 2000L</t>
    <phoneticPr fontId="1" type="noConversion"/>
  </si>
  <si>
    <t>Column 800mm</t>
    <phoneticPr fontId="1" type="noConversion"/>
  </si>
  <si>
    <t>Buffer tank 500L</t>
    <phoneticPr fontId="1" type="noConversion"/>
  </si>
  <si>
    <t>Virus Fiatration</t>
    <phoneticPr fontId="1" type="noConversion"/>
  </si>
  <si>
    <t>Nano filtration system</t>
    <phoneticPr fontId="1" type="noConversion"/>
  </si>
  <si>
    <t>UF/DF</t>
    <phoneticPr fontId="1" type="noConversion"/>
  </si>
  <si>
    <t>TFF system</t>
    <phoneticPr fontId="1" type="noConversion"/>
  </si>
  <si>
    <t>Chromatography 3</t>
  </si>
  <si>
    <t>Filtration</t>
    <phoneticPr fontId="1" type="noConversion"/>
  </si>
  <si>
    <t>Bulk fill</t>
    <phoneticPr fontId="1" type="noConversion"/>
  </si>
  <si>
    <t>Buffer tank 5000L</t>
    <phoneticPr fontId="1" type="noConversion"/>
  </si>
  <si>
    <t>Holding tank 500L</t>
    <phoneticPr fontId="1" type="noConversion"/>
  </si>
  <si>
    <t>Storage tank 500L</t>
    <phoneticPr fontId="1" type="noConversion"/>
  </si>
  <si>
    <t>2000*800*1500</t>
    <phoneticPr fontId="1" type="noConversion"/>
  </si>
  <si>
    <t>Bulk fill system</t>
    <phoneticPr fontId="1" type="noConversion"/>
  </si>
  <si>
    <t>3500*2500*5000</t>
    <phoneticPr fontId="1" type="noConversion"/>
  </si>
  <si>
    <t>3500*3000*5500</t>
    <phoneticPr fontId="1" type="noConversion"/>
  </si>
  <si>
    <t>2500*2500*3500</t>
    <phoneticPr fontId="1" type="noConversion"/>
  </si>
  <si>
    <t>2500*2000*2500</t>
    <phoneticPr fontId="1" type="noConversion"/>
  </si>
  <si>
    <t>Cleanbooth</t>
    <phoneticPr fontId="1" type="noConversion"/>
  </si>
  <si>
    <t>3000*2500*3000</t>
    <phoneticPr fontId="1" type="noConversion"/>
  </si>
  <si>
    <t>Autoclave</t>
    <phoneticPr fontId="1" type="noConversion"/>
  </si>
  <si>
    <t>COP system</t>
    <phoneticPr fontId="1" type="noConversion"/>
  </si>
  <si>
    <t>Washing</t>
    <phoneticPr fontId="1" type="noConversion"/>
  </si>
  <si>
    <t>3000*2500*4500</t>
    <phoneticPr fontId="1" type="noConversion"/>
  </si>
  <si>
    <t>Fitration system</t>
    <phoneticPr fontId="1" type="noConversion"/>
  </si>
  <si>
    <t>Cell bank storage</t>
    <phoneticPr fontId="1" type="noConversion"/>
  </si>
  <si>
    <t>Cell tank (nitrogen)</t>
    <phoneticPr fontId="1" type="noConversion"/>
  </si>
  <si>
    <t>1000*1000*1500</t>
    <phoneticPr fontId="1" type="noConversion"/>
  </si>
  <si>
    <t>DS storage</t>
    <phoneticPr fontId="1" type="noConversion"/>
  </si>
  <si>
    <t>Deep freezer</t>
    <phoneticPr fontId="1" type="noConversion"/>
  </si>
  <si>
    <t>1200*1000*2000</t>
    <phoneticPr fontId="1" type="noConversion"/>
  </si>
  <si>
    <t>IPC</t>
    <phoneticPr fontId="1" type="noConversion"/>
  </si>
  <si>
    <t>Freezer</t>
    <phoneticPr fontId="1" type="noConversion"/>
  </si>
  <si>
    <t>Refrigeator</t>
    <phoneticPr fontId="1" type="noConversion"/>
  </si>
  <si>
    <t>900*1000*2000</t>
    <phoneticPr fontId="1" type="noConversion"/>
  </si>
  <si>
    <t>CIP prepration</t>
    <phoneticPr fontId="1" type="noConversion"/>
  </si>
  <si>
    <t>CIP station</t>
    <phoneticPr fontId="1" type="noConversion"/>
  </si>
  <si>
    <t>5000*2000*4000</t>
    <phoneticPr fontId="1" type="noConversion"/>
  </si>
  <si>
    <t>Layout 에서 가장 첫 번째 단계로 고려할 조건은 건축물의 원자재 반입구와 폐기물 반출구의 위치를 확인하는 것이다. 특히 높은 층의 경우 엘리베이터의 위치를 확인한다. 원자재 반입구에 가까운 쪽에서 공정을 시작하여 폐기물 반출구 쪽에서 공정이 완료되면 불필요한 물질의 동선을 최소화 할 수 있다. 그러나, 이것이 Room 배열의 가장 우선순위는 아니며 적용하고자 하는 제조공정의 특성에 맞게 변형 가능하다. 전체 배열은 크게 공정 구역과 보조구역으로 나눌 수 있다. 보조구역은 갱의실, 보관실과 같이 제조행위가 직접 이루어 지지 않는 구역이라 할 수 있으며, 청정등급은 Grade D, CNC 와 같이 낮은 등급을 갖으며 보통 입구에 가까운 쪽에 위치한다. 사람 및 물품의 동선은 보조구역을 거쳐서 공정구역으로 진입하게 되며, 점진적으로 청정등급이 높아지므로 사람은 갱의실을 통해 깨끗한 복장으로 착복을 하고, 자재 등 물품은 표면 소독을 통해 오염원을 제거하여 공정구역으로 반입을 한다. 일반적으로 Layout 의 중앙에 공급 복도 (supply corridor) 가 위치하며, 주요 공정 Room 을 거쳐 테두리 부분에 리턴 복도 (Return corridor) 가 위치한다. 즉, 사람, 공정물질, 폐기물 등으로부터 교차오염을 억제하기 위해 공급 복도 → 공정 Room → 리턴 복도의 순서로 편도 (one-way) 개념으로 사람과 물품의 이동이 이루어지게 된다. mAb 제조라인에서는 제조공정 상 Virus filtration 수행 전 공정 단계인 Seed 접종실, 배양실, 회수실, 정제1실은 이와 같은 편도 (one-way) Flow 를 따르는 것이 바람직하다.</t>
    <phoneticPr fontId="1" type="noConversion"/>
  </si>
  <si>
    <t>GMP 관리구역의 모든 Room 은 청소 및 동선 관리가 쉬운 구조인 직사각형 (정사각형 포함) 으로 구성하되, 공간 구조 상 필요한 경우 여러 개의 직사각형의 합으로 이루어진 도형으로 구성할 수 있다. 하나의 Room 은 하나의 오픈된 Room 공간을 갖는다. 만약, Room 이 벽체와 door 로 분리된 경우 각 분리된 Room 은 별도의 Room 명을 부여한다. Room 의 면적은 가로와 세로의 곱으로 표시되며, 단위는 일반적으로 설계 단계에서는 밀리미터 (mm) 를 사용한다. Room 면적에 Room 의 천정 높이를 곱하면 체적이 된다. 단, 각 Room 마다 우물형 천정 (well type ceiling) 이 있을 수 있으므로, 감안하여 체적을 구할 수 있다. Room 의 체적은 설계 시 청정등급에 따른 환기횟수를 결정하는 인자가 된다. 모든 Room 에는 도어가 있으며, Room 의 용도에 따라 한개에서 4개 이상의 도어를 설치할 수 있다. 일반적으로는 하나의 Room 에 입구 부분과 출구 부분이 있으며, 또는 입구와 출구를 공유하여 사용할 수 있으며, 이것은 Room 의 용도, 청정등급 및 공정 특수성에 따라 다를 수 있다. 공정 Room 은 목적에 따라 하나의 도어로 연결되는 부속 Room 을 갖을 수 있으며, 사람과 물품이 자유로이 왕래를 할 수 있다.</t>
    <phoneticPr fontId="1" type="noConversion"/>
  </si>
  <si>
    <t>등급 (Grade)</t>
  </si>
  <si>
    <t>공기 흐름 유형 (Airflow Type)</t>
  </si>
  <si>
    <t>환기횟수 권장치 (ACPH)</t>
  </si>
  <si>
    <t>회복 시간 (Recovery Time)</t>
  </si>
  <si>
    <t>Grade A</t>
  </si>
  <si>
    <t>단일방향류 (Unidirectional)</t>
  </si>
  <si>
    <t>0.36 ~ 0.54 m/s (풍속 기준)</t>
  </si>
  <si>
    <t>해당 없음 (지속 유지)</t>
  </si>
  <si>
    <t>Grade B</t>
  </si>
  <si>
    <t>비단일방향류 / 난류</t>
  </si>
  <si>
    <t>최소 40 ~ 60회 이상</t>
  </si>
  <si>
    <t>15 ~ 20분 이내</t>
  </si>
  <si>
    <t>Grade C</t>
  </si>
  <si>
    <t>20 ~ 40회</t>
  </si>
  <si>
    <t>Grade D</t>
  </si>
  <si>
    <t>6 ~ 20회</t>
  </si>
  <si>
    <t>해당 없음 (현장 기준)</t>
  </si>
  <si>
    <t>복장</t>
    <phoneticPr fontId="1" type="noConversion"/>
  </si>
  <si>
    <t>무균복</t>
    <phoneticPr fontId="1" type="noConversion"/>
  </si>
  <si>
    <t>무진복</t>
    <phoneticPr fontId="1" type="noConversion"/>
  </si>
  <si>
    <t>스크럽</t>
    <phoneticPr fontId="1" type="noConversion"/>
  </si>
  <si>
    <t>over gowning</t>
    <phoneticPr fontId="1" type="noConversion"/>
  </si>
  <si>
    <t>갱의 방식</t>
    <phoneticPr fontId="1" type="noConversion"/>
  </si>
  <si>
    <t>degowning and gowning</t>
    <phoneticPr fontId="1" type="noConversion"/>
  </si>
  <si>
    <t>Grade D &amp; CNC</t>
    <phoneticPr fontId="1" type="noConversion"/>
  </si>
  <si>
    <t>도어의 위치</t>
    <phoneticPr fontId="1" type="noConversion"/>
  </si>
  <si>
    <t xml:space="preserve">도어(siwing door) 의 열림 방향은 가급적 열었던 문이 자연적으로 견고히 닫힐 수 있도록 Room 간 차압이 흐르는 방향에 대응하는 방향으로 열리도록 설치한다. 도어는 1000mm 를 기준으로 반영하되 그 용도에 따라 큰 물품이 드나드는 MAL 의 경우 더 큰 도어를 설치한다. </t>
    <phoneticPr fontId="1" type="noConversion"/>
  </si>
  <si>
    <t>Room 구성</t>
    <phoneticPr fontId="1" type="noConversion"/>
  </si>
  <si>
    <t>Room 의 크기는 각 Room 내부의 장비 규격 및 배열에 따라 결정한다. 일반적으로 주요 제조공정 (배지 및 버퍼 제조, 배양, 정제 등) 을 처리하는 공정 Room 들의 합은 layout 전체 면적의 40~70% 를 차지하도록 구성하며 그 비율은 생산 최대 가동률 (다품목 생산, 공정 overlap 생산) 이 높은 제조라인의 경우 더 높게 가져갈 필요가 있다. 복도(corridor) 의 경우 길고 좁은 형태를 이루며, 폭(width) 은 일반적으로 2000mm ~ 3000mm 사이가 적당하나, 보통 복도는 전체 작업장의 큰 비율을 차지하므로 면적이 부족할 경우 그 폭을 2000mm 보다 작게 구성할 수 있으나, 가급적 최소 1500mm 이상은 확보하는 것이 바람직하다. 전실 (Air-Lock) 의 경우 그 용도에 따라 크기를 정할 수 있지만, 일반적으로 제조소의 전체 면적이 넉넉할 경우 가로 3000mm 세로 3000mm 이상의 크기를 확보하는 것이 바람직하며 면적이 부족한 경우 각각 사람과 물건이 충분히 통과할 수 있는 정도의 크기가 되어야 한다. 천정의 높이는 일반적인 Room 은 청소 용이성 및 에너지 소비를 감안하여 2700~3000mm 가 적당하나, Room 에 배치되는 제조 장비의 높이를 고려하여 천정 높이를 결정한다. 단, Room 의 면적이 넓은 경우, 특별히 높은 장비의 천정 높이만 높이는 우물형 천정(well type ceiling) 으로 설계할 수 있다. 생산 배양기 (10,000L) 같은 경우, 배양기의 하단 스페이스는 기계실 (service area) 에 위치하게 하고, 배양기의 head space 만 배양실로 노출하여 청정도 관리구역의 공간을 save 할 수 있다.</t>
    <phoneticPr fontId="1" type="noConversion"/>
  </si>
  <si>
    <t xml:space="preserve">복도 (corridor) 는 인원의 입실과 자재의 반입을 담당하는 공급복도 (supply corridor) 와 인원의 퇴실과 폐기물의 반출을 목적으로 하는 리턴복도 (Return corridor) 로 구분한다. 공정 Room 이 편도(one-way) flow 인 경우, 출구의 전실은 리턴복도로 연결되어야 한다. 일반적으로 복도는 공급복도와 리턴복도는 직접적으로 연결되어 있지 않다. 이는 청정등급이 낮은 리턴복도에서 청정등급이 높은 청정복도로 인원 또는 오염된 물품이 들어와 교차오염(cross contamination) 시키는 것을 원천적으로 예방하기 위함이다. 따라서, 공정룸을 거쳐 리턴복도로 퇴실한 인원은 리턴복도를 따라 보조구역 (Grade D 또는 CNC) 으로 나와야 한다. </t>
    <phoneticPr fontId="1" type="noConversion"/>
  </si>
  <si>
    <r>
      <t>권장 면적 (m</t>
    </r>
    <r>
      <rPr>
        <vertAlign val="superscript"/>
        <sz val="9"/>
        <color theme="1"/>
        <rFont val="맑은 고딕"/>
        <family val="3"/>
        <charset val="129"/>
        <scheme val="minor"/>
      </rPr>
      <t>2</t>
    </r>
    <r>
      <rPr>
        <sz val="9"/>
        <color theme="1"/>
        <rFont val="맑은 고딕"/>
        <family val="2"/>
        <charset val="129"/>
        <scheme val="minor"/>
      </rPr>
      <t>)</t>
    </r>
    <phoneticPr fontId="1" type="noConversion"/>
  </si>
  <si>
    <t>면적 비율
(전체 대비)</t>
    <phoneticPr fontId="1" type="noConversion"/>
  </si>
  <si>
    <t>배양실1</t>
    <phoneticPr fontId="1" type="noConversion"/>
  </si>
  <si>
    <t>배양실2</t>
    <phoneticPr fontId="1" type="noConversion"/>
  </si>
  <si>
    <t>Seed train</t>
    <phoneticPr fontId="1" type="noConversion"/>
  </si>
  <si>
    <r>
      <t>[설계 기준 : mAb 8,000L culture Line 기준, 전체 layout 면적 3300m</t>
    </r>
    <r>
      <rPr>
        <b/>
        <vertAlign val="superscript"/>
        <sz val="10"/>
        <color theme="1"/>
        <rFont val="맑은 고딕"/>
        <family val="3"/>
        <charset val="129"/>
        <scheme val="minor"/>
      </rPr>
      <t>2</t>
    </r>
    <r>
      <rPr>
        <b/>
        <sz val="10"/>
        <color theme="1"/>
        <rFont val="맑은 고딕"/>
        <family val="3"/>
        <charset val="129"/>
        <scheme val="minor"/>
      </rPr>
      <t xml:space="preserve"> 기준]</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</si>
</sst>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4" formatCode="0.0%"/>
  </numFmts>
  <fonts count="12" x14ac:knownFonts="1">
    <font>
      <sz val="11"/>
      <color theme="1"/>
      <name val="맑은 고딕"/>
      <family val="2"/>
      <charset val="129"/>
      <scheme val="minor"/>
    </font>
    <font>
      <sz val="8"/>
      <name val="맑은 고딕"/>
      <family val="2"/>
      <charset val="129"/>
      <scheme val="minor"/>
    </font>
    <font>
      <sz val="9"/>
      <color theme="1"/>
      <name val="맑은 고딕"/>
      <family val="3"/>
      <charset val="129"/>
      <scheme val="minor"/>
    </font>
    <font>
      <sz val="9"/>
      <color theme="1"/>
      <name val="맑은 고딕"/>
      <family val="2"/>
      <charset val="129"/>
      <scheme val="minor"/>
    </font>
    <font>
      <vertAlign val="superscript"/>
      <sz val="9"/>
      <color theme="1"/>
      <name val="맑은 고딕"/>
      <family val="3"/>
      <charset val="129"/>
      <scheme val="minor"/>
    </font>
    <font>
      <sz val="11"/>
      <color theme="1"/>
      <name val="맑은 고딕"/>
      <family val="2"/>
      <charset val="129"/>
      <scheme val="minor"/>
    </font>
    <font>
      <sz val="11"/>
      <color rgb="FF1F1F1F"/>
      <name val="Arial"/>
      <family val="2"/>
    </font>
    <font>
      <b/>
      <sz val="11"/>
      <color rgb="FF1F1F1F"/>
      <name val="Arial"/>
      <family val="2"/>
    </font>
    <font>
      <b/>
      <sz val="11"/>
      <color rgb="FF1F1F1F"/>
      <name val="Arial Unicode MS"/>
      <family val="2"/>
      <charset val="129"/>
    </font>
    <font>
      <sz val="11"/>
      <color rgb="FF1F1F1F"/>
      <name val="Arial Unicode MS"/>
      <family val="2"/>
      <charset val="129"/>
    </font>
    <font>
      <b/>
      <sz val="10"/>
      <color theme="1"/>
      <name val="맑은 고딕"/>
      <family val="3"/>
      <charset val="129"/>
      <scheme val="minor"/>
    </font>
    <font>
      <b/>
      <vertAlign val="superscript"/>
      <sz val="10"/>
      <color theme="1"/>
      <name val="맑은 고딕"/>
      <family val="3"/>
      <charset val="129"/>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alignment vertical="center"/>
    </xf>
    <xf numFmtId="9" fontId="5" fillId="0" borderId="0" applyFont="0" applyFill="0" applyBorder="0" applyAlignment="0" applyProtection="0">
      <alignment vertical="center"/>
    </xf>
  </cellStyleXfs>
  <cellXfs count="19">
    <xf numFmtId="0" fontId="0" fillId="0" borderId="0" xfId="0">
      <alignment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xf>
    <xf numFmtId="0" fontId="2" fillId="0" borderId="0" xfId="0" applyFont="1" applyAlignment="1">
      <alignment horizontal="left" vertical="center"/>
    </xf>
    <xf numFmtId="0" fontId="6" fillId="0" borderId="1" xfId="0" applyFont="1" applyBorder="1" applyAlignment="1">
      <alignment vertical="center" wrapText="1" readingOrder="1"/>
    </xf>
    <xf numFmtId="0" fontId="7" fillId="0" borderId="1" xfId="0" applyFont="1" applyBorder="1" applyAlignment="1">
      <alignment horizontal="center" vertical="center" wrapText="1" readingOrder="1"/>
    </xf>
    <xf numFmtId="0" fontId="9" fillId="0" borderId="1" xfId="0" applyFont="1" applyBorder="1" applyAlignment="1">
      <alignment horizontal="center" vertical="center" wrapText="1" readingOrder="1"/>
    </xf>
    <xf numFmtId="0" fontId="8" fillId="0" borderId="1" xfId="0" applyFont="1" applyBorder="1" applyAlignment="1">
      <alignment horizontal="center" vertical="center" wrapText="1" readingOrder="1"/>
    </xf>
    <xf numFmtId="0" fontId="6" fillId="0" borderId="1" xfId="0" applyFont="1" applyBorder="1" applyAlignment="1">
      <alignment horizontal="center" vertical="center" wrapText="1" readingOrder="1"/>
    </xf>
    <xf numFmtId="184" fontId="3" fillId="0" borderId="0" xfId="1" applyNumberFormat="1" applyFont="1">
      <alignment vertical="center"/>
    </xf>
    <xf numFmtId="9" fontId="3" fillId="0" borderId="0" xfId="0" applyNumberFormat="1" applyFont="1">
      <alignment vertical="center"/>
    </xf>
    <xf numFmtId="0" fontId="10" fillId="0" borderId="0" xfId="0" applyFont="1" applyAlignment="1">
      <alignment horizontal="left" vertical="center"/>
    </xf>
  </cellXfs>
  <cellStyles count="2">
    <cellStyle name="백분율" xfId="1" builtinId="5"/>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BA3DC14-34A7-4462-9F66-3110A3710A41}">
  <we:reference id="wa200009404" version="1.0.0.8" store="en-US" storeType="OMEX"/>
  <we:alternateReferences>
    <we:reference id="wa200009404" version="1.0.0.8" store="en-US" storeType="OMEX"/>
  </we:alternateReferences>
  <we:properties>
    <we:property name="claude.fileId" value="&quot;ade02efc-6248-4e86-9720-b069a79052b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27AA-C39E-4BF5-BDFA-B6C7F9287C9C}">
  <dimension ref="A1:C13"/>
  <sheetViews>
    <sheetView tabSelected="1" zoomScale="80" zoomScaleNormal="80" workbookViewId="0">
      <selection activeCell="G4" sqref="G4"/>
    </sheetView>
  </sheetViews>
  <sheetFormatPr defaultRowHeight="14.5" x14ac:dyDescent="0.45"/>
  <cols>
    <col min="1" max="1" width="3.25" style="1" customWidth="1"/>
    <col min="2" max="2" width="14.08203125" style="1" customWidth="1"/>
    <col min="3" max="3" width="119.08203125" style="2" bestFit="1" customWidth="1"/>
    <col min="4" max="16384" width="8.6640625" style="2"/>
  </cols>
  <sheetData>
    <row r="1" spans="2:3" x14ac:dyDescent="0.45">
      <c r="B1" s="1" t="s">
        <v>8</v>
      </c>
      <c r="C1" s="1" t="s">
        <v>9</v>
      </c>
    </row>
    <row r="2" spans="2:3" ht="140.5" customHeight="1" x14ac:dyDescent="0.45">
      <c r="B2" s="1" t="s">
        <v>14</v>
      </c>
      <c r="C2" s="5" t="s">
        <v>206</v>
      </c>
    </row>
    <row r="3" spans="2:3" ht="110" customHeight="1" x14ac:dyDescent="0.45">
      <c r="B3" s="1" t="s">
        <v>235</v>
      </c>
      <c r="C3" s="3" t="s">
        <v>207</v>
      </c>
    </row>
    <row r="4" spans="2:3" ht="128" customHeight="1" x14ac:dyDescent="0.45">
      <c r="B4" s="1" t="s">
        <v>0</v>
      </c>
      <c r="C4" s="3" t="s">
        <v>236</v>
      </c>
    </row>
    <row r="5" spans="2:3" ht="117.5" customHeight="1" x14ac:dyDescent="0.45">
      <c r="B5" s="4" t="s">
        <v>4</v>
      </c>
      <c r="C5" s="3" t="s">
        <v>11</v>
      </c>
    </row>
    <row r="6" spans="2:3" ht="64.5" customHeight="1" x14ac:dyDescent="0.45">
      <c r="B6" s="4" t="s">
        <v>10</v>
      </c>
      <c r="C6" s="3" t="s">
        <v>13</v>
      </c>
    </row>
    <row r="7" spans="2:3" ht="157" customHeight="1" x14ac:dyDescent="0.45">
      <c r="B7" s="1" t="s">
        <v>6</v>
      </c>
      <c r="C7" s="3" t="s">
        <v>69</v>
      </c>
    </row>
    <row r="8" spans="2:3" ht="69" customHeight="1" x14ac:dyDescent="0.45">
      <c r="B8" s="1" t="s">
        <v>7</v>
      </c>
      <c r="C8" s="3" t="s">
        <v>237</v>
      </c>
    </row>
    <row r="9" spans="2:3" ht="36.5" customHeight="1" x14ac:dyDescent="0.45">
      <c r="B9" s="1" t="s">
        <v>233</v>
      </c>
      <c r="C9" s="3" t="s">
        <v>234</v>
      </c>
    </row>
    <row r="10" spans="2:3" ht="58.5" customHeight="1" x14ac:dyDescent="0.45">
      <c r="B10" s="1" t="s">
        <v>5</v>
      </c>
      <c r="C10" s="3" t="s">
        <v>12</v>
      </c>
    </row>
    <row r="11" spans="2:3" ht="43.5" customHeight="1" x14ac:dyDescent="0.45">
      <c r="B11" s="1" t="s">
        <v>66</v>
      </c>
      <c r="C11" s="3" t="s">
        <v>65</v>
      </c>
    </row>
    <row r="12" spans="2:3" ht="38.5" customHeight="1" x14ac:dyDescent="0.45">
      <c r="B12" s="1" t="s">
        <v>15</v>
      </c>
      <c r="C12" s="3" t="s">
        <v>16</v>
      </c>
    </row>
    <row r="13" spans="2:3" ht="85" customHeight="1" x14ac:dyDescent="0.45">
      <c r="B13" s="1" t="s">
        <v>67</v>
      </c>
      <c r="C13" s="3" t="s">
        <v>68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EE343-8071-4FBF-8FFE-331FAC8BC92B}">
  <dimension ref="B1:G46"/>
  <sheetViews>
    <sheetView zoomScale="90" zoomScaleNormal="90" workbookViewId="0">
      <selection activeCell="C8" sqref="C8"/>
    </sheetView>
  </sheetViews>
  <sheetFormatPr defaultRowHeight="14.5" x14ac:dyDescent="0.45"/>
  <cols>
    <col min="1" max="1" width="3" style="6" customWidth="1"/>
    <col min="2" max="2" width="8.6640625" style="7"/>
    <col min="3" max="3" width="14.83203125" style="7" customWidth="1"/>
    <col min="4" max="4" width="25.4140625" style="6" customWidth="1"/>
    <col min="5" max="5" width="27" style="6" bestFit="1" customWidth="1"/>
    <col min="6" max="6" width="11" style="6" bestFit="1" customWidth="1"/>
    <col min="7" max="7" width="9.9140625" style="6" customWidth="1"/>
    <col min="8" max="16384" width="8.6640625" style="6"/>
  </cols>
  <sheetData>
    <row r="1" spans="2:7" ht="16" x14ac:dyDescent="0.45">
      <c r="B1" s="18" t="s">
        <v>243</v>
      </c>
    </row>
    <row r="2" spans="2:7" ht="9" customHeight="1" x14ac:dyDescent="0.45">
      <c r="B2" s="9"/>
    </row>
    <row r="3" spans="2:7" s="7" customFormat="1" ht="29" x14ac:dyDescent="0.45">
      <c r="B3" s="7" t="s">
        <v>19</v>
      </c>
      <c r="C3" s="7" t="s">
        <v>20</v>
      </c>
      <c r="D3" s="7" t="s">
        <v>21</v>
      </c>
      <c r="E3" s="8" t="s">
        <v>39</v>
      </c>
      <c r="F3" s="7" t="s">
        <v>238</v>
      </c>
      <c r="G3" s="8" t="s">
        <v>239</v>
      </c>
    </row>
    <row r="4" spans="2:7" x14ac:dyDescent="0.45">
      <c r="B4" s="7" t="s">
        <v>17</v>
      </c>
      <c r="C4" s="7" t="s">
        <v>31</v>
      </c>
      <c r="D4" s="7" t="s">
        <v>33</v>
      </c>
      <c r="E4" s="7" t="s">
        <v>41</v>
      </c>
      <c r="F4" s="6">
        <v>100</v>
      </c>
      <c r="G4" s="16">
        <f>F4/3300</f>
        <v>3.0303030303030304E-2</v>
      </c>
    </row>
    <row r="5" spans="2:7" x14ac:dyDescent="0.45">
      <c r="B5" s="7" t="s">
        <v>17</v>
      </c>
      <c r="C5" s="7" t="s">
        <v>32</v>
      </c>
      <c r="D5" s="7" t="s">
        <v>34</v>
      </c>
      <c r="E5" s="7" t="s">
        <v>41</v>
      </c>
      <c r="F5" s="6">
        <v>200</v>
      </c>
      <c r="G5" s="16">
        <f t="shared" ref="G5:G45" si="0">F5/3300</f>
        <v>6.0606060606060608E-2</v>
      </c>
    </row>
    <row r="6" spans="2:7" x14ac:dyDescent="0.45">
      <c r="B6" s="7" t="s">
        <v>17</v>
      </c>
      <c r="C6" s="7" t="s">
        <v>22</v>
      </c>
      <c r="D6" s="7" t="s">
        <v>25</v>
      </c>
      <c r="E6" s="7" t="s">
        <v>40</v>
      </c>
      <c r="F6" s="6">
        <v>40</v>
      </c>
      <c r="G6" s="16">
        <f t="shared" si="0"/>
        <v>1.2121212121212121E-2</v>
      </c>
    </row>
    <row r="7" spans="2:7" x14ac:dyDescent="0.45">
      <c r="B7" s="7" t="s">
        <v>17</v>
      </c>
      <c r="C7" s="7" t="s">
        <v>240</v>
      </c>
      <c r="D7" s="7" t="s">
        <v>242</v>
      </c>
      <c r="E7" s="7" t="s">
        <v>41</v>
      </c>
      <c r="F7" s="6">
        <v>150</v>
      </c>
      <c r="G7" s="16">
        <f t="shared" si="0"/>
        <v>4.5454545454545456E-2</v>
      </c>
    </row>
    <row r="8" spans="2:7" x14ac:dyDescent="0.45">
      <c r="B8" s="7" t="s">
        <v>17</v>
      </c>
      <c r="C8" s="7" t="s">
        <v>241</v>
      </c>
      <c r="D8" s="7" t="s">
        <v>144</v>
      </c>
      <c r="E8" s="7" t="s">
        <v>41</v>
      </c>
      <c r="F8" s="6">
        <v>150</v>
      </c>
      <c r="G8" s="16">
        <f t="shared" si="0"/>
        <v>4.5454545454545456E-2</v>
      </c>
    </row>
    <row r="9" spans="2:7" x14ac:dyDescent="0.45">
      <c r="B9" s="7" t="s">
        <v>17</v>
      </c>
      <c r="C9" s="7" t="s">
        <v>26</v>
      </c>
      <c r="D9" s="7" t="s">
        <v>24</v>
      </c>
      <c r="E9" s="7" t="s">
        <v>41</v>
      </c>
      <c r="F9" s="6">
        <v>60</v>
      </c>
      <c r="G9" s="16">
        <f t="shared" si="0"/>
        <v>1.8181818181818181E-2</v>
      </c>
    </row>
    <row r="10" spans="2:7" x14ac:dyDescent="0.45">
      <c r="B10" s="7" t="s">
        <v>17</v>
      </c>
      <c r="C10" s="7" t="s">
        <v>27</v>
      </c>
      <c r="D10" s="7" t="s">
        <v>29</v>
      </c>
      <c r="E10" s="7" t="s">
        <v>41</v>
      </c>
      <c r="F10" s="6">
        <v>300</v>
      </c>
      <c r="G10" s="16">
        <f t="shared" si="0"/>
        <v>9.0909090909090912E-2</v>
      </c>
    </row>
    <row r="11" spans="2:7" x14ac:dyDescent="0.45">
      <c r="B11" s="7" t="s">
        <v>17</v>
      </c>
      <c r="C11" s="7" t="s">
        <v>28</v>
      </c>
      <c r="D11" s="7" t="s">
        <v>30</v>
      </c>
      <c r="E11" s="7" t="s">
        <v>41</v>
      </c>
      <c r="F11" s="6">
        <v>100</v>
      </c>
      <c r="G11" s="16">
        <f t="shared" si="0"/>
        <v>3.0303030303030304E-2</v>
      </c>
    </row>
    <row r="12" spans="2:7" x14ac:dyDescent="0.45">
      <c r="B12" s="7" t="s">
        <v>17</v>
      </c>
      <c r="C12" s="7" t="s">
        <v>35</v>
      </c>
      <c r="D12" s="7" t="s">
        <v>36</v>
      </c>
      <c r="E12" s="7" t="s">
        <v>41</v>
      </c>
      <c r="F12" s="6">
        <v>80</v>
      </c>
      <c r="G12" s="16">
        <f t="shared" si="0"/>
        <v>2.4242424242424242E-2</v>
      </c>
    </row>
    <row r="13" spans="2:7" x14ac:dyDescent="0.45">
      <c r="B13" s="7" t="s">
        <v>17</v>
      </c>
      <c r="C13" s="7" t="s">
        <v>37</v>
      </c>
      <c r="D13" s="7" t="s">
        <v>38</v>
      </c>
      <c r="E13" s="7" t="s">
        <v>41</v>
      </c>
      <c r="F13" s="6">
        <v>60</v>
      </c>
      <c r="G13" s="16">
        <f t="shared" si="0"/>
        <v>1.8181818181818181E-2</v>
      </c>
    </row>
    <row r="14" spans="2:7" x14ac:dyDescent="0.45">
      <c r="B14" s="7" t="s">
        <v>17</v>
      </c>
      <c r="C14" s="7" t="s">
        <v>62</v>
      </c>
      <c r="D14" s="7" t="s">
        <v>63</v>
      </c>
      <c r="E14" s="7" t="s">
        <v>41</v>
      </c>
      <c r="F14" s="6">
        <v>150</v>
      </c>
      <c r="G14" s="16">
        <f t="shared" si="0"/>
        <v>4.5454545454545456E-2</v>
      </c>
    </row>
    <row r="15" spans="2:7" x14ac:dyDescent="0.45">
      <c r="B15" s="7" t="s">
        <v>17</v>
      </c>
      <c r="C15" s="7" t="s">
        <v>81</v>
      </c>
      <c r="D15" s="7" t="s">
        <v>64</v>
      </c>
      <c r="E15" s="7" t="s">
        <v>42</v>
      </c>
      <c r="F15" s="6">
        <v>250</v>
      </c>
      <c r="G15" s="16">
        <f t="shared" si="0"/>
        <v>7.575757575757576E-2</v>
      </c>
    </row>
    <row r="16" spans="2:7" x14ac:dyDescent="0.45">
      <c r="B16" s="7" t="s">
        <v>17</v>
      </c>
      <c r="C16" s="7" t="s">
        <v>56</v>
      </c>
      <c r="D16" s="7" t="s">
        <v>59</v>
      </c>
      <c r="E16" s="7" t="s">
        <v>40</v>
      </c>
      <c r="F16" s="6">
        <v>30</v>
      </c>
      <c r="G16" s="16">
        <f t="shared" si="0"/>
        <v>9.0909090909090905E-3</v>
      </c>
    </row>
    <row r="17" spans="2:7" x14ac:dyDescent="0.45">
      <c r="B17" s="7" t="s">
        <v>17</v>
      </c>
      <c r="C17" s="7" t="s">
        <v>70</v>
      </c>
      <c r="D17" s="7" t="s">
        <v>72</v>
      </c>
      <c r="E17" s="7" t="s">
        <v>41</v>
      </c>
      <c r="F17" s="6">
        <v>16</v>
      </c>
      <c r="G17" s="16">
        <f t="shared" si="0"/>
        <v>4.8484848484848485E-3</v>
      </c>
    </row>
    <row r="18" spans="2:7" x14ac:dyDescent="0.45">
      <c r="B18" s="7" t="s">
        <v>17</v>
      </c>
      <c r="C18" s="7" t="s">
        <v>70</v>
      </c>
      <c r="D18" s="7" t="s">
        <v>73</v>
      </c>
      <c r="E18" s="7" t="s">
        <v>41</v>
      </c>
      <c r="F18" s="6">
        <v>16</v>
      </c>
      <c r="G18" s="16">
        <f t="shared" si="0"/>
        <v>4.8484848484848485E-3</v>
      </c>
    </row>
    <row r="19" spans="2:7" x14ac:dyDescent="0.45">
      <c r="B19" s="7" t="s">
        <v>17</v>
      </c>
      <c r="C19" s="7" t="s">
        <v>70</v>
      </c>
      <c r="D19" s="7" t="s">
        <v>74</v>
      </c>
      <c r="E19" s="7" t="s">
        <v>41</v>
      </c>
      <c r="F19" s="6">
        <v>16</v>
      </c>
      <c r="G19" s="16">
        <f t="shared" si="0"/>
        <v>4.8484848484848485E-3</v>
      </c>
    </row>
    <row r="20" spans="2:7" x14ac:dyDescent="0.45">
      <c r="B20" s="7" t="s">
        <v>17</v>
      </c>
      <c r="C20" s="7" t="s">
        <v>70</v>
      </c>
      <c r="D20" s="7" t="s">
        <v>75</v>
      </c>
      <c r="E20" s="7" t="s">
        <v>41</v>
      </c>
      <c r="F20" s="6">
        <v>16</v>
      </c>
      <c r="G20" s="16">
        <f t="shared" si="0"/>
        <v>4.8484848484848485E-3</v>
      </c>
    </row>
    <row r="21" spans="2:7" x14ac:dyDescent="0.45">
      <c r="B21" s="7" t="s">
        <v>17</v>
      </c>
      <c r="C21" s="7" t="s">
        <v>70</v>
      </c>
      <c r="D21" s="7" t="s">
        <v>76</v>
      </c>
      <c r="E21" s="7" t="s">
        <v>71</v>
      </c>
      <c r="F21" s="6">
        <v>16</v>
      </c>
      <c r="G21" s="16">
        <f t="shared" si="0"/>
        <v>4.8484848484848485E-3</v>
      </c>
    </row>
    <row r="22" spans="2:7" x14ac:dyDescent="0.45">
      <c r="B22" s="7" t="s">
        <v>17</v>
      </c>
      <c r="C22" s="7" t="s">
        <v>70</v>
      </c>
      <c r="D22" s="7" t="s">
        <v>77</v>
      </c>
      <c r="E22" s="7" t="s">
        <v>71</v>
      </c>
      <c r="F22" s="6">
        <v>16</v>
      </c>
      <c r="G22" s="16">
        <f t="shared" si="0"/>
        <v>4.8484848484848485E-3</v>
      </c>
    </row>
    <row r="23" spans="2:7" x14ac:dyDescent="0.45">
      <c r="B23" s="7" t="s">
        <v>17</v>
      </c>
      <c r="C23" s="7" t="s">
        <v>70</v>
      </c>
      <c r="D23" s="7" t="s">
        <v>78</v>
      </c>
      <c r="E23" s="7" t="s">
        <v>41</v>
      </c>
      <c r="F23" s="6">
        <v>12</v>
      </c>
      <c r="G23" s="16">
        <f t="shared" si="0"/>
        <v>3.6363636363636364E-3</v>
      </c>
    </row>
    <row r="24" spans="2:7" x14ac:dyDescent="0.45">
      <c r="B24" s="7" t="s">
        <v>17</v>
      </c>
      <c r="C24" s="7" t="s">
        <v>70</v>
      </c>
      <c r="D24" s="7" t="s">
        <v>79</v>
      </c>
      <c r="E24" s="7" t="s">
        <v>71</v>
      </c>
      <c r="F24" s="6">
        <v>12</v>
      </c>
      <c r="G24" s="16">
        <f t="shared" si="0"/>
        <v>3.6363636363636364E-3</v>
      </c>
    </row>
    <row r="25" spans="2:7" x14ac:dyDescent="0.45">
      <c r="B25" s="7" t="s">
        <v>17</v>
      </c>
      <c r="C25" s="7" t="s">
        <v>70</v>
      </c>
      <c r="D25" s="7" t="s">
        <v>80</v>
      </c>
      <c r="E25" s="7" t="s">
        <v>71</v>
      </c>
      <c r="F25" s="6">
        <v>12</v>
      </c>
      <c r="G25" s="16">
        <f t="shared" si="0"/>
        <v>3.6363636363636364E-3</v>
      </c>
    </row>
    <row r="26" spans="2:7" ht="5" customHeight="1" x14ac:dyDescent="0.45">
      <c r="D26" s="7"/>
      <c r="E26" s="7"/>
    </row>
    <row r="27" spans="2:7" x14ac:dyDescent="0.45">
      <c r="B27" s="7" t="s">
        <v>18</v>
      </c>
      <c r="C27" s="7" t="s">
        <v>43</v>
      </c>
      <c r="D27" s="7" t="s">
        <v>49</v>
      </c>
      <c r="E27" s="7" t="s">
        <v>42</v>
      </c>
      <c r="F27" s="6">
        <v>100</v>
      </c>
      <c r="G27" s="16">
        <f t="shared" si="0"/>
        <v>3.0303030303030304E-2</v>
      </c>
    </row>
    <row r="28" spans="2:7" x14ac:dyDescent="0.45">
      <c r="B28" s="7" t="s">
        <v>18</v>
      </c>
      <c r="C28" s="7" t="s">
        <v>54</v>
      </c>
      <c r="D28" s="7" t="s">
        <v>55</v>
      </c>
      <c r="E28" s="7" t="s">
        <v>42</v>
      </c>
      <c r="F28" s="6">
        <v>100</v>
      </c>
      <c r="G28" s="16">
        <f t="shared" si="0"/>
        <v>3.0303030303030304E-2</v>
      </c>
    </row>
    <row r="29" spans="2:7" x14ac:dyDescent="0.45">
      <c r="B29" s="7" t="s">
        <v>18</v>
      </c>
      <c r="C29" s="7" t="s">
        <v>44</v>
      </c>
      <c r="D29" s="7" t="s">
        <v>48</v>
      </c>
      <c r="E29" s="7" t="s">
        <v>42</v>
      </c>
      <c r="F29" s="6">
        <v>50</v>
      </c>
      <c r="G29" s="16">
        <f t="shared" si="0"/>
        <v>1.5151515151515152E-2</v>
      </c>
    </row>
    <row r="30" spans="2:7" x14ac:dyDescent="0.45">
      <c r="B30" s="7" t="s">
        <v>18</v>
      </c>
      <c r="C30" s="7" t="s">
        <v>45</v>
      </c>
      <c r="D30" s="7" t="s">
        <v>47</v>
      </c>
      <c r="E30" s="7" t="s">
        <v>42</v>
      </c>
      <c r="F30" s="6">
        <v>30</v>
      </c>
      <c r="G30" s="16">
        <f t="shared" si="0"/>
        <v>9.0909090909090905E-3</v>
      </c>
    </row>
    <row r="31" spans="2:7" x14ac:dyDescent="0.45">
      <c r="B31" s="7" t="s">
        <v>18</v>
      </c>
      <c r="C31" s="7" t="s">
        <v>50</v>
      </c>
      <c r="D31" s="7" t="s">
        <v>46</v>
      </c>
      <c r="E31" s="7" t="s">
        <v>42</v>
      </c>
      <c r="F31" s="6">
        <v>20</v>
      </c>
      <c r="G31" s="16">
        <f t="shared" si="0"/>
        <v>6.0606060606060606E-3</v>
      </c>
    </row>
    <row r="32" spans="2:7" x14ac:dyDescent="0.45">
      <c r="B32" s="7" t="s">
        <v>18</v>
      </c>
      <c r="C32" s="7" t="s">
        <v>51</v>
      </c>
      <c r="D32" s="7" t="s">
        <v>52</v>
      </c>
      <c r="E32" s="7" t="s">
        <v>53</v>
      </c>
      <c r="F32" s="6">
        <v>60</v>
      </c>
      <c r="G32" s="16">
        <f t="shared" si="0"/>
        <v>1.8181818181818181E-2</v>
      </c>
    </row>
    <row r="33" spans="2:7" x14ac:dyDescent="0.45">
      <c r="B33" s="7" t="s">
        <v>18</v>
      </c>
      <c r="C33" s="7" t="s">
        <v>57</v>
      </c>
      <c r="D33" s="7" t="s">
        <v>60</v>
      </c>
      <c r="E33" s="7" t="s">
        <v>42</v>
      </c>
      <c r="F33" s="6">
        <v>50</v>
      </c>
      <c r="G33" s="16">
        <f t="shared" si="0"/>
        <v>1.5151515151515152E-2</v>
      </c>
    </row>
    <row r="34" spans="2:7" x14ac:dyDescent="0.45">
      <c r="B34" s="7" t="s">
        <v>18</v>
      </c>
      <c r="C34" s="7" t="s">
        <v>58</v>
      </c>
      <c r="D34" s="7" t="s">
        <v>61</v>
      </c>
      <c r="E34" s="7" t="s">
        <v>42</v>
      </c>
      <c r="F34" s="6">
        <v>80</v>
      </c>
      <c r="G34" s="16">
        <f t="shared" si="0"/>
        <v>2.4242424242424242E-2</v>
      </c>
    </row>
    <row r="35" spans="2:7" x14ac:dyDescent="0.45">
      <c r="B35" s="7" t="s">
        <v>18</v>
      </c>
      <c r="C35" s="7" t="s">
        <v>81</v>
      </c>
      <c r="D35" s="7" t="s">
        <v>82</v>
      </c>
      <c r="E35" s="7" t="s">
        <v>42</v>
      </c>
      <c r="F35" s="6">
        <v>20</v>
      </c>
      <c r="G35" s="16">
        <f t="shared" si="0"/>
        <v>6.0606060606060606E-3</v>
      </c>
    </row>
    <row r="36" spans="2:7" x14ac:dyDescent="0.45">
      <c r="B36" s="7" t="s">
        <v>18</v>
      </c>
      <c r="C36" s="7" t="s">
        <v>70</v>
      </c>
      <c r="D36" s="7" t="s">
        <v>76</v>
      </c>
      <c r="E36" s="7" t="s">
        <v>53</v>
      </c>
      <c r="F36" s="6">
        <v>15</v>
      </c>
      <c r="G36" s="16">
        <f t="shared" si="0"/>
        <v>4.5454545454545452E-3</v>
      </c>
    </row>
    <row r="37" spans="2:7" x14ac:dyDescent="0.45">
      <c r="B37" s="7" t="s">
        <v>18</v>
      </c>
      <c r="C37" s="7" t="s">
        <v>70</v>
      </c>
      <c r="D37" s="7" t="s">
        <v>77</v>
      </c>
      <c r="E37" s="7" t="s">
        <v>53</v>
      </c>
      <c r="F37" s="6">
        <v>15</v>
      </c>
      <c r="G37" s="16">
        <f t="shared" si="0"/>
        <v>4.5454545454545452E-3</v>
      </c>
    </row>
    <row r="38" spans="2:7" x14ac:dyDescent="0.45">
      <c r="B38" s="7" t="s">
        <v>18</v>
      </c>
      <c r="C38" s="7" t="s">
        <v>70</v>
      </c>
      <c r="D38" s="7" t="s">
        <v>78</v>
      </c>
      <c r="E38" s="7" t="s">
        <v>53</v>
      </c>
      <c r="F38" s="6">
        <v>9</v>
      </c>
      <c r="G38" s="16">
        <f t="shared" si="0"/>
        <v>2.7272727272727275E-3</v>
      </c>
    </row>
    <row r="39" spans="2:7" ht="5" customHeight="1" x14ac:dyDescent="0.45">
      <c r="D39" s="7"/>
      <c r="E39" s="7"/>
    </row>
    <row r="40" spans="2:7" x14ac:dyDescent="0.45">
      <c r="B40" s="7" t="s">
        <v>84</v>
      </c>
      <c r="C40" s="7" t="s">
        <v>87</v>
      </c>
      <c r="D40" s="7" t="s">
        <v>89</v>
      </c>
      <c r="E40" s="7" t="s">
        <v>93</v>
      </c>
      <c r="F40" s="6">
        <v>20</v>
      </c>
      <c r="G40" s="16">
        <f t="shared" si="0"/>
        <v>6.0606060606060606E-3</v>
      </c>
    </row>
    <row r="41" spans="2:7" x14ac:dyDescent="0.45">
      <c r="B41" s="7" t="s">
        <v>84</v>
      </c>
      <c r="C41" s="7" t="s">
        <v>88</v>
      </c>
      <c r="D41" s="7" t="s">
        <v>90</v>
      </c>
      <c r="E41" s="7" t="s">
        <v>93</v>
      </c>
      <c r="F41" s="6">
        <v>25</v>
      </c>
      <c r="G41" s="16">
        <f t="shared" si="0"/>
        <v>7.575757575757576E-3</v>
      </c>
    </row>
    <row r="42" spans="2:7" x14ac:dyDescent="0.45">
      <c r="B42" s="7" t="s">
        <v>84</v>
      </c>
      <c r="C42" s="7" t="s">
        <v>85</v>
      </c>
      <c r="D42" s="7" t="s">
        <v>86</v>
      </c>
      <c r="E42" s="7" t="s">
        <v>93</v>
      </c>
      <c r="F42" s="6">
        <v>100</v>
      </c>
      <c r="G42" s="16">
        <f t="shared" si="0"/>
        <v>3.0303030303030304E-2</v>
      </c>
    </row>
    <row r="43" spans="2:7" x14ac:dyDescent="0.45">
      <c r="B43" s="7" t="s">
        <v>84</v>
      </c>
      <c r="C43" s="7" t="s">
        <v>91</v>
      </c>
      <c r="D43" s="7" t="s">
        <v>92</v>
      </c>
      <c r="E43" s="7" t="s">
        <v>93</v>
      </c>
      <c r="F43" s="6">
        <v>50</v>
      </c>
      <c r="G43" s="16">
        <f t="shared" si="0"/>
        <v>1.5151515151515152E-2</v>
      </c>
    </row>
    <row r="44" spans="2:7" x14ac:dyDescent="0.45">
      <c r="B44" s="7" t="s">
        <v>84</v>
      </c>
      <c r="C44" s="7" t="s">
        <v>94</v>
      </c>
      <c r="D44" s="7" t="s">
        <v>95</v>
      </c>
      <c r="E44" s="7" t="s">
        <v>93</v>
      </c>
      <c r="F44" s="6">
        <v>50</v>
      </c>
      <c r="G44" s="16">
        <f t="shared" si="0"/>
        <v>1.5151515151515152E-2</v>
      </c>
    </row>
    <row r="45" spans="2:7" x14ac:dyDescent="0.45">
      <c r="B45" s="7" t="s">
        <v>84</v>
      </c>
      <c r="C45" s="7" t="s">
        <v>81</v>
      </c>
      <c r="D45" s="7" t="s">
        <v>82</v>
      </c>
      <c r="E45" s="7" t="s">
        <v>93</v>
      </c>
      <c r="F45" s="6">
        <v>200</v>
      </c>
      <c r="G45" s="16">
        <f t="shared" si="0"/>
        <v>6.0606060606060608E-2</v>
      </c>
    </row>
    <row r="46" spans="2:7" x14ac:dyDescent="0.45">
      <c r="G46" s="17">
        <f>SUM(G4:G45)</f>
        <v>0.8472727272727274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7F3B0-4E9F-4292-9320-5D25F633E905}">
  <dimension ref="A2:I90"/>
  <sheetViews>
    <sheetView topLeftCell="A7" workbookViewId="0">
      <selection activeCell="E14" sqref="E14"/>
    </sheetView>
  </sheetViews>
  <sheetFormatPr defaultRowHeight="14.5" x14ac:dyDescent="0.45"/>
  <cols>
    <col min="1" max="1" width="2.4140625" style="2" customWidth="1"/>
    <col min="2" max="2" width="10" style="7" customWidth="1"/>
    <col min="3" max="3" width="14.83203125" style="7" customWidth="1"/>
    <col min="4" max="4" width="25.4140625" style="2" customWidth="1"/>
    <col min="5" max="5" width="14.1640625" style="1" bestFit="1" customWidth="1"/>
    <col min="6" max="6" width="18.5" style="2" customWidth="1"/>
    <col min="7" max="7" width="16.1640625" style="2" customWidth="1"/>
    <col min="8" max="8" width="8.6640625" style="2"/>
    <col min="9" max="9" width="14.5" style="2" bestFit="1" customWidth="1"/>
    <col min="10" max="16384" width="8.6640625" style="2"/>
  </cols>
  <sheetData>
    <row r="2" spans="1:9" s="7" customFormat="1" x14ac:dyDescent="0.45">
      <c r="B2" s="7" t="s">
        <v>19</v>
      </c>
      <c r="C2" s="7" t="s">
        <v>20</v>
      </c>
      <c r="D2" s="7" t="s">
        <v>21</v>
      </c>
      <c r="E2" s="1" t="s">
        <v>83</v>
      </c>
      <c r="F2" s="1" t="s">
        <v>3</v>
      </c>
      <c r="G2" s="1" t="s">
        <v>123</v>
      </c>
      <c r="H2" s="1" t="s">
        <v>122</v>
      </c>
      <c r="I2" s="1" t="s">
        <v>124</v>
      </c>
    </row>
    <row r="3" spans="1:9" x14ac:dyDescent="0.45">
      <c r="B3" s="7" t="s">
        <v>121</v>
      </c>
      <c r="C3" s="7" t="s">
        <v>31</v>
      </c>
      <c r="D3" s="7" t="s">
        <v>33</v>
      </c>
      <c r="E3" s="1" t="s">
        <v>96</v>
      </c>
      <c r="F3" s="2" t="s">
        <v>98</v>
      </c>
      <c r="G3" s="2" t="s">
        <v>108</v>
      </c>
      <c r="H3" s="2">
        <v>500</v>
      </c>
      <c r="I3" s="2">
        <v>600</v>
      </c>
    </row>
    <row r="4" spans="1:9" x14ac:dyDescent="0.45">
      <c r="C4" s="7" t="s">
        <v>31</v>
      </c>
      <c r="D4" s="7" t="s">
        <v>33</v>
      </c>
      <c r="E4" s="1" t="s">
        <v>1</v>
      </c>
      <c r="F4" s="2" t="s">
        <v>100</v>
      </c>
      <c r="G4" s="2" t="s">
        <v>104</v>
      </c>
      <c r="H4" s="2">
        <v>1000</v>
      </c>
      <c r="I4" s="2">
        <v>1100</v>
      </c>
    </row>
    <row r="5" spans="1:9" x14ac:dyDescent="0.45">
      <c r="C5" s="7" t="s">
        <v>31</v>
      </c>
      <c r="D5" s="7" t="s">
        <v>33</v>
      </c>
      <c r="E5" s="1" t="s">
        <v>1</v>
      </c>
      <c r="F5" s="2" t="s">
        <v>101</v>
      </c>
      <c r="G5" s="2" t="s">
        <v>105</v>
      </c>
      <c r="H5" s="2">
        <v>1500</v>
      </c>
      <c r="I5" s="2">
        <v>2000</v>
      </c>
    </row>
    <row r="6" spans="1:9" x14ac:dyDescent="0.45">
      <c r="C6" s="7" t="s">
        <v>31</v>
      </c>
      <c r="D6" s="7" t="s">
        <v>33</v>
      </c>
      <c r="E6" s="1" t="s">
        <v>1</v>
      </c>
      <c r="F6" s="2" t="s">
        <v>103</v>
      </c>
      <c r="G6" s="2" t="s">
        <v>106</v>
      </c>
      <c r="H6" s="2">
        <v>2000</v>
      </c>
      <c r="I6" s="2">
        <v>4000</v>
      </c>
    </row>
    <row r="7" spans="1:9" x14ac:dyDescent="0.45">
      <c r="A7" s="2" t="s">
        <v>97</v>
      </c>
      <c r="C7" s="7" t="s">
        <v>31</v>
      </c>
      <c r="D7" s="7" t="s">
        <v>33</v>
      </c>
      <c r="E7" s="1" t="s">
        <v>1</v>
      </c>
      <c r="F7" s="2" t="s">
        <v>102</v>
      </c>
      <c r="G7" s="2" t="s">
        <v>107</v>
      </c>
      <c r="H7" s="2">
        <v>3000</v>
      </c>
      <c r="I7" s="2">
        <v>13000</v>
      </c>
    </row>
    <row r="8" spans="1:9" x14ac:dyDescent="0.45">
      <c r="C8" s="7" t="s">
        <v>32</v>
      </c>
      <c r="D8" s="7" t="s">
        <v>34</v>
      </c>
      <c r="E8" s="1" t="s">
        <v>96</v>
      </c>
      <c r="F8" s="2" t="s">
        <v>98</v>
      </c>
      <c r="G8" s="2" t="s">
        <v>108</v>
      </c>
      <c r="H8" s="2">
        <v>500</v>
      </c>
      <c r="I8" s="2">
        <v>600</v>
      </c>
    </row>
    <row r="9" spans="1:9" x14ac:dyDescent="0.45">
      <c r="C9" s="7" t="s">
        <v>32</v>
      </c>
      <c r="D9" s="7" t="s">
        <v>34</v>
      </c>
      <c r="E9" s="1" t="s">
        <v>2</v>
      </c>
      <c r="F9" s="2" t="s">
        <v>100</v>
      </c>
      <c r="G9" s="2" t="s">
        <v>104</v>
      </c>
      <c r="H9" s="2">
        <v>1000</v>
      </c>
      <c r="I9" s="2">
        <v>1100</v>
      </c>
    </row>
    <row r="10" spans="1:9" x14ac:dyDescent="0.45">
      <c r="C10" s="7" t="s">
        <v>32</v>
      </c>
      <c r="D10" s="7" t="s">
        <v>34</v>
      </c>
      <c r="E10" s="1" t="s">
        <v>2</v>
      </c>
      <c r="F10" s="2" t="s">
        <v>101</v>
      </c>
      <c r="G10" s="2" t="s">
        <v>105</v>
      </c>
      <c r="H10" s="2">
        <v>1500</v>
      </c>
      <c r="I10" s="2">
        <v>2000</v>
      </c>
    </row>
    <row r="11" spans="1:9" x14ac:dyDescent="0.45">
      <c r="C11" s="7" t="s">
        <v>32</v>
      </c>
      <c r="D11" s="7" t="s">
        <v>34</v>
      </c>
      <c r="E11" s="1" t="s">
        <v>2</v>
      </c>
      <c r="F11" s="2" t="s">
        <v>103</v>
      </c>
      <c r="G11" s="2" t="s">
        <v>106</v>
      </c>
      <c r="H11" s="2">
        <v>2000</v>
      </c>
      <c r="I11" s="2">
        <v>4000</v>
      </c>
    </row>
    <row r="12" spans="1:9" x14ac:dyDescent="0.45">
      <c r="C12" s="7" t="s">
        <v>32</v>
      </c>
      <c r="D12" s="7" t="s">
        <v>34</v>
      </c>
      <c r="E12" s="1" t="s">
        <v>2</v>
      </c>
      <c r="F12" s="2" t="s">
        <v>102</v>
      </c>
      <c r="G12" s="2" t="s">
        <v>107</v>
      </c>
      <c r="H12" s="2">
        <v>3000</v>
      </c>
      <c r="I12" s="2">
        <v>13000</v>
      </c>
    </row>
    <row r="13" spans="1:9" x14ac:dyDescent="0.45">
      <c r="C13" s="7" t="s">
        <v>32</v>
      </c>
      <c r="D13" s="7" t="s">
        <v>34</v>
      </c>
      <c r="E13" s="1" t="s">
        <v>2</v>
      </c>
      <c r="F13" s="2" t="s">
        <v>109</v>
      </c>
      <c r="G13" s="2" t="s">
        <v>110</v>
      </c>
      <c r="H13" s="2">
        <v>4000</v>
      </c>
      <c r="I13" s="2">
        <v>29000</v>
      </c>
    </row>
    <row r="14" spans="1:9" x14ac:dyDescent="0.45">
      <c r="C14" s="7" t="s">
        <v>22</v>
      </c>
      <c r="D14" s="7" t="s">
        <v>25</v>
      </c>
      <c r="E14" s="1" t="s">
        <v>111</v>
      </c>
      <c r="F14" s="2" t="s">
        <v>112</v>
      </c>
      <c r="G14" s="2" t="s">
        <v>115</v>
      </c>
      <c r="H14" s="2">
        <v>1000</v>
      </c>
      <c r="I14" s="2">
        <v>1000</v>
      </c>
    </row>
    <row r="15" spans="1:9" x14ac:dyDescent="0.45">
      <c r="C15" s="7" t="s">
        <v>22</v>
      </c>
      <c r="D15" s="7" t="s">
        <v>25</v>
      </c>
      <c r="E15" s="1" t="s">
        <v>111</v>
      </c>
      <c r="F15" s="2" t="s">
        <v>117</v>
      </c>
      <c r="G15" s="2" t="s">
        <v>118</v>
      </c>
      <c r="H15" s="2">
        <v>60</v>
      </c>
      <c r="I15" s="2">
        <v>60</v>
      </c>
    </row>
    <row r="16" spans="1:9" x14ac:dyDescent="0.45">
      <c r="C16" s="7" t="s">
        <v>22</v>
      </c>
      <c r="D16" s="7" t="s">
        <v>25</v>
      </c>
      <c r="E16" s="1" t="s">
        <v>113</v>
      </c>
      <c r="F16" s="2" t="s">
        <v>114</v>
      </c>
      <c r="G16" s="2" t="s">
        <v>116</v>
      </c>
      <c r="H16" s="2">
        <v>150</v>
      </c>
      <c r="I16" s="2">
        <v>150</v>
      </c>
    </row>
    <row r="17" spans="3:9" x14ac:dyDescent="0.45">
      <c r="C17" s="7" t="s">
        <v>22</v>
      </c>
      <c r="D17" s="7" t="s">
        <v>25</v>
      </c>
      <c r="E17" s="1" t="s">
        <v>113</v>
      </c>
      <c r="F17" s="2" t="s">
        <v>119</v>
      </c>
      <c r="G17" s="2" t="s">
        <v>120</v>
      </c>
      <c r="H17" s="2">
        <v>200</v>
      </c>
      <c r="I17" s="2">
        <v>200</v>
      </c>
    </row>
    <row r="18" spans="3:9" x14ac:dyDescent="0.45">
      <c r="C18" s="7" t="s">
        <v>23</v>
      </c>
      <c r="D18" s="7" t="s">
        <v>144</v>
      </c>
      <c r="E18" s="1" t="s">
        <v>126</v>
      </c>
      <c r="F18" s="2" t="s">
        <v>130</v>
      </c>
      <c r="G18" s="2" t="s">
        <v>143</v>
      </c>
      <c r="H18" s="2">
        <v>200</v>
      </c>
      <c r="I18" s="2">
        <v>220</v>
      </c>
    </row>
    <row r="19" spans="3:9" x14ac:dyDescent="0.45">
      <c r="C19" s="7" t="s">
        <v>23</v>
      </c>
      <c r="D19" s="7" t="s">
        <v>144</v>
      </c>
      <c r="E19" s="1" t="s">
        <v>125</v>
      </c>
      <c r="F19" s="2" t="s">
        <v>134</v>
      </c>
      <c r="G19" s="2" t="s">
        <v>142</v>
      </c>
      <c r="H19" s="2">
        <v>1000</v>
      </c>
      <c r="I19" s="2">
        <v>1100</v>
      </c>
    </row>
    <row r="20" spans="3:9" x14ac:dyDescent="0.45">
      <c r="C20" s="7" t="s">
        <v>23</v>
      </c>
      <c r="D20" s="7" t="s">
        <v>144</v>
      </c>
      <c r="E20" s="1" t="s">
        <v>127</v>
      </c>
      <c r="F20" s="2" t="s">
        <v>133</v>
      </c>
      <c r="G20" s="2" t="s">
        <v>141</v>
      </c>
      <c r="H20" s="2">
        <v>1500</v>
      </c>
      <c r="I20" s="2">
        <v>2000</v>
      </c>
    </row>
    <row r="21" spans="3:9" x14ac:dyDescent="0.45">
      <c r="C21" s="7" t="s">
        <v>23</v>
      </c>
      <c r="D21" s="7" t="s">
        <v>144</v>
      </c>
      <c r="E21" s="1" t="s">
        <v>128</v>
      </c>
      <c r="F21" s="2" t="s">
        <v>132</v>
      </c>
      <c r="G21" s="2" t="s">
        <v>140</v>
      </c>
      <c r="H21" s="2">
        <v>2000</v>
      </c>
      <c r="I21" s="2">
        <v>4000</v>
      </c>
    </row>
    <row r="22" spans="3:9" x14ac:dyDescent="0.45">
      <c r="C22" s="7" t="s">
        <v>23</v>
      </c>
      <c r="D22" s="7" t="s">
        <v>144</v>
      </c>
      <c r="E22" s="1" t="s">
        <v>129</v>
      </c>
      <c r="F22" s="2" t="s">
        <v>131</v>
      </c>
      <c r="G22" s="2" t="s">
        <v>139</v>
      </c>
      <c r="H22" s="2">
        <v>3000</v>
      </c>
      <c r="I22" s="2">
        <v>11000</v>
      </c>
    </row>
    <row r="23" spans="3:9" x14ac:dyDescent="0.45">
      <c r="C23" s="7" t="s">
        <v>23</v>
      </c>
      <c r="D23" s="7" t="s">
        <v>144</v>
      </c>
      <c r="E23" s="1" t="s">
        <v>149</v>
      </c>
      <c r="F23" s="2" t="s">
        <v>137</v>
      </c>
      <c r="G23" s="2" t="s">
        <v>104</v>
      </c>
      <c r="H23" s="2">
        <v>1000</v>
      </c>
      <c r="I23" s="2">
        <v>2000</v>
      </c>
    </row>
    <row r="24" spans="3:9" x14ac:dyDescent="0.45">
      <c r="C24" s="7" t="s">
        <v>26</v>
      </c>
      <c r="D24" s="7" t="s">
        <v>24</v>
      </c>
      <c r="E24" s="1" t="s">
        <v>135</v>
      </c>
      <c r="F24" s="2" t="s">
        <v>138</v>
      </c>
      <c r="G24" s="2" t="s">
        <v>99</v>
      </c>
      <c r="H24" s="2">
        <v>2000</v>
      </c>
      <c r="I24" s="2">
        <v>2500</v>
      </c>
    </row>
    <row r="25" spans="3:9" x14ac:dyDescent="0.45">
      <c r="C25" s="7" t="s">
        <v>26</v>
      </c>
      <c r="D25" s="7" t="s">
        <v>24</v>
      </c>
      <c r="E25" s="1" t="s">
        <v>135</v>
      </c>
      <c r="F25" s="2" t="s">
        <v>150</v>
      </c>
      <c r="G25" s="2" t="s">
        <v>151</v>
      </c>
      <c r="H25" s="2">
        <v>1500</v>
      </c>
      <c r="I25" s="2">
        <v>11500</v>
      </c>
    </row>
    <row r="26" spans="3:9" x14ac:dyDescent="0.45">
      <c r="C26" s="7" t="s">
        <v>26</v>
      </c>
      <c r="D26" s="7" t="s">
        <v>24</v>
      </c>
      <c r="E26" s="1" t="s">
        <v>136</v>
      </c>
      <c r="F26" s="2" t="s">
        <v>146</v>
      </c>
      <c r="G26" s="2" t="s">
        <v>147</v>
      </c>
      <c r="H26" s="2">
        <v>300</v>
      </c>
      <c r="I26" s="2">
        <v>500</v>
      </c>
    </row>
    <row r="27" spans="3:9" x14ac:dyDescent="0.45">
      <c r="C27" s="7" t="s">
        <v>27</v>
      </c>
      <c r="D27" s="7" t="s">
        <v>29</v>
      </c>
      <c r="E27" s="1" t="s">
        <v>148</v>
      </c>
      <c r="F27" s="2" t="s">
        <v>152</v>
      </c>
      <c r="G27" s="2" t="s">
        <v>153</v>
      </c>
      <c r="H27" s="2">
        <v>500</v>
      </c>
      <c r="I27" s="2">
        <v>500</v>
      </c>
    </row>
    <row r="28" spans="3:9" x14ac:dyDescent="0.45">
      <c r="C28" s="7" t="s">
        <v>27</v>
      </c>
      <c r="D28" s="7" t="s">
        <v>29</v>
      </c>
      <c r="E28" s="1" t="s">
        <v>148</v>
      </c>
      <c r="F28" s="2" t="s">
        <v>155</v>
      </c>
      <c r="G28" s="2" t="s">
        <v>105</v>
      </c>
      <c r="H28" s="2">
        <v>2000</v>
      </c>
      <c r="I28" s="2">
        <v>2200</v>
      </c>
    </row>
    <row r="29" spans="3:9" x14ac:dyDescent="0.45">
      <c r="C29" s="7" t="s">
        <v>27</v>
      </c>
      <c r="D29" s="7" t="s">
        <v>29</v>
      </c>
      <c r="E29" s="1" t="s">
        <v>148</v>
      </c>
      <c r="F29" s="2" t="s">
        <v>158</v>
      </c>
      <c r="G29" s="2" t="s">
        <v>191</v>
      </c>
      <c r="H29" s="2">
        <v>2000</v>
      </c>
      <c r="I29" s="2">
        <v>5000</v>
      </c>
    </row>
    <row r="30" spans="3:9" x14ac:dyDescent="0.45">
      <c r="C30" s="7" t="s">
        <v>27</v>
      </c>
      <c r="D30" s="7" t="s">
        <v>29</v>
      </c>
      <c r="E30" s="1" t="s">
        <v>148</v>
      </c>
      <c r="F30" s="2" t="s">
        <v>154</v>
      </c>
      <c r="G30" s="2" t="s">
        <v>106</v>
      </c>
      <c r="H30" s="2">
        <v>1500</v>
      </c>
      <c r="I30" s="2">
        <v>3500</v>
      </c>
    </row>
    <row r="31" spans="3:9" x14ac:dyDescent="0.45">
      <c r="C31" s="7" t="s">
        <v>27</v>
      </c>
      <c r="D31" s="7" t="s">
        <v>29</v>
      </c>
      <c r="E31" s="1" t="s">
        <v>148</v>
      </c>
      <c r="F31" s="2" t="s">
        <v>156</v>
      </c>
      <c r="G31" s="2" t="s">
        <v>182</v>
      </c>
      <c r="H31" s="2">
        <v>2000</v>
      </c>
      <c r="I31" s="2">
        <v>6000</v>
      </c>
    </row>
    <row r="32" spans="3:9" x14ac:dyDescent="0.45">
      <c r="C32" s="7" t="s">
        <v>27</v>
      </c>
      <c r="D32" s="7" t="s">
        <v>29</v>
      </c>
      <c r="E32" s="1" t="s">
        <v>148</v>
      </c>
      <c r="F32" s="2" t="s">
        <v>154</v>
      </c>
      <c r="G32" s="2" t="s">
        <v>106</v>
      </c>
      <c r="H32" s="2">
        <v>1500</v>
      </c>
      <c r="I32" s="2">
        <v>3500</v>
      </c>
    </row>
    <row r="33" spans="3:9" x14ac:dyDescent="0.45">
      <c r="C33" s="7" t="s">
        <v>27</v>
      </c>
      <c r="D33" s="7" t="s">
        <v>29</v>
      </c>
      <c r="E33" s="1" t="s">
        <v>148</v>
      </c>
      <c r="F33" s="2" t="s">
        <v>154</v>
      </c>
      <c r="G33" s="2" t="s">
        <v>106</v>
      </c>
      <c r="H33" s="2">
        <v>1500</v>
      </c>
      <c r="I33" s="2">
        <v>3500</v>
      </c>
    </row>
    <row r="34" spans="3:9" x14ac:dyDescent="0.45">
      <c r="C34" s="7" t="s">
        <v>27</v>
      </c>
      <c r="D34" s="7" t="s">
        <v>29</v>
      </c>
      <c r="E34" s="1" t="s">
        <v>148</v>
      </c>
      <c r="F34" s="2" t="s">
        <v>154</v>
      </c>
      <c r="G34" s="2" t="s">
        <v>106</v>
      </c>
      <c r="H34" s="2">
        <v>1500</v>
      </c>
      <c r="I34" s="2">
        <v>3500</v>
      </c>
    </row>
    <row r="35" spans="3:9" x14ac:dyDescent="0.45">
      <c r="C35" s="7" t="s">
        <v>27</v>
      </c>
      <c r="D35" s="7" t="s">
        <v>29</v>
      </c>
      <c r="E35" s="1" t="s">
        <v>148</v>
      </c>
      <c r="F35" s="2" t="s">
        <v>154</v>
      </c>
      <c r="G35" s="2" t="s">
        <v>106</v>
      </c>
      <c r="H35" s="2">
        <v>1500</v>
      </c>
      <c r="I35" s="2">
        <v>3500</v>
      </c>
    </row>
    <row r="36" spans="3:9" x14ac:dyDescent="0.45">
      <c r="C36" s="7" t="s">
        <v>27</v>
      </c>
      <c r="D36" s="7" t="s">
        <v>29</v>
      </c>
      <c r="E36" s="1" t="s">
        <v>148</v>
      </c>
      <c r="F36" s="2" t="s">
        <v>159</v>
      </c>
      <c r="G36" s="2" t="s">
        <v>182</v>
      </c>
      <c r="H36" s="2">
        <v>2000</v>
      </c>
    </row>
    <row r="37" spans="3:9" x14ac:dyDescent="0.45">
      <c r="C37" s="7" t="s">
        <v>27</v>
      </c>
      <c r="D37" s="7" t="s">
        <v>29</v>
      </c>
      <c r="E37" s="1" t="s">
        <v>161</v>
      </c>
      <c r="F37" s="2" t="s">
        <v>162</v>
      </c>
      <c r="G37" s="2" t="s">
        <v>140</v>
      </c>
      <c r="H37" s="2">
        <v>1500</v>
      </c>
    </row>
    <row r="38" spans="3:9" x14ac:dyDescent="0.45">
      <c r="C38" s="7" t="s">
        <v>27</v>
      </c>
      <c r="D38" s="7" t="s">
        <v>29</v>
      </c>
      <c r="E38" s="1" t="s">
        <v>161</v>
      </c>
      <c r="F38" s="2" t="s">
        <v>163</v>
      </c>
      <c r="G38" s="2" t="s">
        <v>142</v>
      </c>
      <c r="H38" s="2">
        <v>500</v>
      </c>
      <c r="I38" s="2">
        <v>700</v>
      </c>
    </row>
    <row r="39" spans="3:9" x14ac:dyDescent="0.45">
      <c r="C39" s="7" t="s">
        <v>27</v>
      </c>
      <c r="D39" s="7" t="s">
        <v>29</v>
      </c>
      <c r="E39" s="1" t="s">
        <v>161</v>
      </c>
      <c r="F39" s="2" t="s">
        <v>164</v>
      </c>
      <c r="G39" s="2" t="s">
        <v>142</v>
      </c>
      <c r="H39" s="2">
        <v>500</v>
      </c>
      <c r="I39" s="2">
        <v>700</v>
      </c>
    </row>
    <row r="40" spans="3:9" x14ac:dyDescent="0.45">
      <c r="C40" s="7" t="s">
        <v>27</v>
      </c>
      <c r="D40" s="7" t="s">
        <v>29</v>
      </c>
      <c r="E40" s="1" t="s">
        <v>161</v>
      </c>
      <c r="F40" s="2" t="s">
        <v>145</v>
      </c>
      <c r="G40" s="2" t="s">
        <v>147</v>
      </c>
      <c r="H40" s="2">
        <v>300</v>
      </c>
      <c r="I40" s="2">
        <v>500</v>
      </c>
    </row>
    <row r="41" spans="3:9" x14ac:dyDescent="0.45">
      <c r="C41" s="7" t="s">
        <v>27</v>
      </c>
      <c r="D41" s="7" t="s">
        <v>29</v>
      </c>
      <c r="E41" s="1" t="s">
        <v>160</v>
      </c>
      <c r="F41" s="2" t="s">
        <v>152</v>
      </c>
      <c r="G41" s="2" t="s">
        <v>153</v>
      </c>
      <c r="H41" s="2">
        <v>500</v>
      </c>
      <c r="I41" s="2">
        <v>500</v>
      </c>
    </row>
    <row r="42" spans="3:9" x14ac:dyDescent="0.45">
      <c r="C42" s="7" t="s">
        <v>27</v>
      </c>
      <c r="D42" s="7" t="s">
        <v>29</v>
      </c>
      <c r="E42" s="1" t="s">
        <v>160</v>
      </c>
      <c r="F42" s="2" t="s">
        <v>165</v>
      </c>
      <c r="G42" s="2" t="s">
        <v>142</v>
      </c>
      <c r="H42" s="2">
        <v>1800</v>
      </c>
      <c r="I42" s="2">
        <v>2000</v>
      </c>
    </row>
    <row r="43" spans="3:9" x14ac:dyDescent="0.45">
      <c r="C43" s="7" t="s">
        <v>27</v>
      </c>
      <c r="D43" s="7" t="s">
        <v>29</v>
      </c>
      <c r="E43" s="1" t="s">
        <v>160</v>
      </c>
      <c r="F43" s="2" t="s">
        <v>166</v>
      </c>
      <c r="G43" s="2" t="s">
        <v>183</v>
      </c>
      <c r="H43" s="2">
        <v>2500</v>
      </c>
      <c r="I43" s="2">
        <v>10000</v>
      </c>
    </row>
    <row r="44" spans="3:9" x14ac:dyDescent="0.45">
      <c r="C44" s="7" t="s">
        <v>27</v>
      </c>
      <c r="D44" s="7" t="s">
        <v>29</v>
      </c>
      <c r="E44" s="1" t="s">
        <v>160</v>
      </c>
      <c r="F44" s="2" t="s">
        <v>156</v>
      </c>
      <c r="G44" s="2" t="s">
        <v>182</v>
      </c>
      <c r="H44" s="2">
        <v>2000</v>
      </c>
      <c r="I44" s="2">
        <v>6000</v>
      </c>
    </row>
    <row r="45" spans="3:9" x14ac:dyDescent="0.45">
      <c r="C45" s="7" t="s">
        <v>27</v>
      </c>
      <c r="D45" s="7" t="s">
        <v>29</v>
      </c>
      <c r="E45" s="1" t="s">
        <v>160</v>
      </c>
      <c r="F45" s="2" t="s">
        <v>156</v>
      </c>
      <c r="G45" s="2" t="s">
        <v>182</v>
      </c>
      <c r="H45" s="2">
        <v>2000</v>
      </c>
      <c r="I45" s="2">
        <v>6000</v>
      </c>
    </row>
    <row r="46" spans="3:9" x14ac:dyDescent="0.45">
      <c r="C46" s="7" t="s">
        <v>27</v>
      </c>
      <c r="D46" s="7" t="s">
        <v>29</v>
      </c>
      <c r="E46" s="1" t="s">
        <v>160</v>
      </c>
      <c r="F46" s="2" t="s">
        <v>154</v>
      </c>
      <c r="G46" s="2" t="s">
        <v>106</v>
      </c>
      <c r="H46" s="2">
        <v>1500</v>
      </c>
      <c r="I46" s="2">
        <v>3500</v>
      </c>
    </row>
    <row r="47" spans="3:9" x14ac:dyDescent="0.45">
      <c r="C47" s="7" t="s">
        <v>27</v>
      </c>
      <c r="D47" s="7" t="s">
        <v>29</v>
      </c>
      <c r="E47" s="1" t="s">
        <v>160</v>
      </c>
      <c r="F47" s="2" t="s">
        <v>156</v>
      </c>
      <c r="G47" s="2" t="s">
        <v>182</v>
      </c>
      <c r="H47" s="2">
        <v>2000</v>
      </c>
      <c r="I47" s="2">
        <v>6000</v>
      </c>
    </row>
    <row r="48" spans="3:9" x14ac:dyDescent="0.45">
      <c r="C48" s="7" t="s">
        <v>27</v>
      </c>
      <c r="D48" s="7" t="s">
        <v>29</v>
      </c>
      <c r="E48" s="1" t="s">
        <v>160</v>
      </c>
      <c r="F48" s="2" t="s">
        <v>154</v>
      </c>
      <c r="G48" s="2" t="s">
        <v>106</v>
      </c>
      <c r="H48" s="2">
        <v>1500</v>
      </c>
      <c r="I48" s="2">
        <v>3500</v>
      </c>
    </row>
    <row r="49" spans="3:9" x14ac:dyDescent="0.45">
      <c r="C49" s="7" t="s">
        <v>27</v>
      </c>
      <c r="D49" s="7" t="s">
        <v>29</v>
      </c>
      <c r="E49" s="1" t="s">
        <v>160</v>
      </c>
      <c r="F49" s="2" t="s">
        <v>154</v>
      </c>
      <c r="G49" s="2" t="s">
        <v>106</v>
      </c>
      <c r="H49" s="2">
        <v>1500</v>
      </c>
      <c r="I49" s="2">
        <v>3500</v>
      </c>
    </row>
    <row r="50" spans="3:9" x14ac:dyDescent="0.45">
      <c r="C50" s="7" t="s">
        <v>27</v>
      </c>
      <c r="D50" s="7" t="s">
        <v>29</v>
      </c>
      <c r="E50" s="1" t="s">
        <v>160</v>
      </c>
      <c r="F50" s="2" t="s">
        <v>167</v>
      </c>
      <c r="G50" s="2" t="s">
        <v>106</v>
      </c>
      <c r="H50" s="2">
        <v>1500</v>
      </c>
    </row>
    <row r="51" spans="3:9" x14ac:dyDescent="0.45">
      <c r="C51" s="7" t="s">
        <v>27</v>
      </c>
      <c r="D51" s="7" t="s">
        <v>29</v>
      </c>
      <c r="E51" s="1" t="s">
        <v>174</v>
      </c>
      <c r="F51" s="2" t="s">
        <v>152</v>
      </c>
      <c r="G51" s="2" t="s">
        <v>153</v>
      </c>
      <c r="H51" s="2">
        <v>500</v>
      </c>
      <c r="I51" s="2">
        <v>500</v>
      </c>
    </row>
    <row r="52" spans="3:9" x14ac:dyDescent="0.45">
      <c r="C52" s="7" t="s">
        <v>27</v>
      </c>
      <c r="D52" s="7" t="s">
        <v>29</v>
      </c>
      <c r="E52" s="1" t="s">
        <v>174</v>
      </c>
      <c r="F52" s="2" t="s">
        <v>168</v>
      </c>
      <c r="G52" s="2" t="s">
        <v>142</v>
      </c>
      <c r="H52" s="2">
        <v>1500</v>
      </c>
      <c r="I52" s="2">
        <v>1600</v>
      </c>
    </row>
    <row r="53" spans="3:9" x14ac:dyDescent="0.45">
      <c r="C53" s="7" t="s">
        <v>27</v>
      </c>
      <c r="D53" s="7" t="s">
        <v>29</v>
      </c>
      <c r="E53" s="1" t="s">
        <v>174</v>
      </c>
      <c r="F53" s="2" t="s">
        <v>167</v>
      </c>
      <c r="G53" s="2" t="s">
        <v>106</v>
      </c>
      <c r="H53" s="2">
        <v>1500</v>
      </c>
      <c r="I53" s="2">
        <v>3500</v>
      </c>
    </row>
    <row r="54" spans="3:9" x14ac:dyDescent="0.45">
      <c r="C54" s="7" t="s">
        <v>27</v>
      </c>
      <c r="D54" s="7" t="s">
        <v>29</v>
      </c>
      <c r="E54" s="1" t="s">
        <v>174</v>
      </c>
      <c r="F54" s="2" t="s">
        <v>157</v>
      </c>
      <c r="G54" s="2" t="s">
        <v>184</v>
      </c>
      <c r="H54" s="2">
        <v>1000</v>
      </c>
      <c r="I54" s="2">
        <v>2000</v>
      </c>
    </row>
    <row r="55" spans="3:9" x14ac:dyDescent="0.45">
      <c r="C55" s="7" t="s">
        <v>27</v>
      </c>
      <c r="D55" s="7" t="s">
        <v>29</v>
      </c>
      <c r="E55" s="1" t="s">
        <v>174</v>
      </c>
      <c r="F55" s="2" t="s">
        <v>157</v>
      </c>
      <c r="G55" s="2" t="s">
        <v>184</v>
      </c>
      <c r="H55" s="2">
        <v>1000</v>
      </c>
      <c r="I55" s="2">
        <v>2000</v>
      </c>
    </row>
    <row r="56" spans="3:9" x14ac:dyDescent="0.45">
      <c r="C56" s="7" t="s">
        <v>27</v>
      </c>
      <c r="D56" s="7" t="s">
        <v>29</v>
      </c>
      <c r="E56" s="1" t="s">
        <v>174</v>
      </c>
      <c r="F56" s="2" t="s">
        <v>157</v>
      </c>
      <c r="G56" s="2" t="s">
        <v>184</v>
      </c>
      <c r="H56" s="2">
        <v>1000</v>
      </c>
      <c r="I56" s="2">
        <v>2000</v>
      </c>
    </row>
    <row r="57" spans="3:9" x14ac:dyDescent="0.45">
      <c r="C57" s="7" t="s">
        <v>27</v>
      </c>
      <c r="D57" s="7" t="s">
        <v>29</v>
      </c>
      <c r="E57" s="1" t="s">
        <v>174</v>
      </c>
      <c r="F57" s="2" t="s">
        <v>169</v>
      </c>
      <c r="G57" s="2" t="s">
        <v>105</v>
      </c>
      <c r="H57" s="2">
        <v>800</v>
      </c>
      <c r="I57" s="2">
        <v>1300</v>
      </c>
    </row>
    <row r="58" spans="3:9" x14ac:dyDescent="0.45">
      <c r="C58" s="7" t="s">
        <v>27</v>
      </c>
      <c r="D58" s="7" t="s">
        <v>29</v>
      </c>
      <c r="E58" s="1" t="s">
        <v>174</v>
      </c>
      <c r="F58" s="2" t="s">
        <v>169</v>
      </c>
      <c r="G58" s="2" t="s">
        <v>105</v>
      </c>
      <c r="H58" s="2">
        <v>800</v>
      </c>
      <c r="I58" s="2">
        <v>1300</v>
      </c>
    </row>
    <row r="59" spans="3:9" x14ac:dyDescent="0.45">
      <c r="C59" s="7" t="s">
        <v>27</v>
      </c>
      <c r="D59" s="7" t="s">
        <v>29</v>
      </c>
      <c r="E59" s="1" t="s">
        <v>174</v>
      </c>
      <c r="F59" s="2" t="s">
        <v>167</v>
      </c>
      <c r="G59" s="2" t="s">
        <v>106</v>
      </c>
      <c r="H59" s="2">
        <v>1500</v>
      </c>
    </row>
    <row r="60" spans="3:9" x14ac:dyDescent="0.45">
      <c r="C60" s="7" t="s">
        <v>27</v>
      </c>
      <c r="D60" s="7" t="s">
        <v>29</v>
      </c>
      <c r="E60" s="1" t="s">
        <v>170</v>
      </c>
      <c r="F60" s="2" t="s">
        <v>167</v>
      </c>
      <c r="G60" s="2" t="s">
        <v>106</v>
      </c>
      <c r="H60" s="2">
        <v>1500</v>
      </c>
      <c r="I60" s="2">
        <v>3500</v>
      </c>
    </row>
    <row r="61" spans="3:9" x14ac:dyDescent="0.45">
      <c r="C61" s="7" t="s">
        <v>27</v>
      </c>
      <c r="D61" s="7" t="s">
        <v>29</v>
      </c>
      <c r="E61" s="1" t="s">
        <v>170</v>
      </c>
      <c r="F61" s="2" t="s">
        <v>171</v>
      </c>
      <c r="G61" s="2" t="s">
        <v>180</v>
      </c>
      <c r="H61" s="2">
        <v>500</v>
      </c>
      <c r="I61" s="2">
        <v>500</v>
      </c>
    </row>
    <row r="62" spans="3:9" x14ac:dyDescent="0.45">
      <c r="C62" s="7" t="s">
        <v>27</v>
      </c>
      <c r="D62" s="7" t="s">
        <v>29</v>
      </c>
      <c r="E62" s="1" t="s">
        <v>170</v>
      </c>
      <c r="F62" s="2" t="s">
        <v>167</v>
      </c>
      <c r="G62" s="2" t="s">
        <v>106</v>
      </c>
      <c r="H62" s="2">
        <v>1500</v>
      </c>
    </row>
    <row r="63" spans="3:9" x14ac:dyDescent="0.45">
      <c r="C63" s="7" t="s">
        <v>28</v>
      </c>
      <c r="D63" s="7" t="s">
        <v>30</v>
      </c>
      <c r="E63" s="1" t="s">
        <v>172</v>
      </c>
      <c r="F63" s="2" t="s">
        <v>173</v>
      </c>
      <c r="G63" s="2" t="s">
        <v>185</v>
      </c>
      <c r="H63" s="2">
        <v>1000</v>
      </c>
      <c r="I63" s="2">
        <v>1000</v>
      </c>
    </row>
    <row r="64" spans="3:9" x14ac:dyDescent="0.45">
      <c r="C64" s="7" t="s">
        <v>28</v>
      </c>
      <c r="D64" s="7" t="s">
        <v>30</v>
      </c>
      <c r="E64" s="1" t="s">
        <v>172</v>
      </c>
      <c r="F64" s="2" t="s">
        <v>178</v>
      </c>
      <c r="G64" s="2" t="s">
        <v>105</v>
      </c>
      <c r="H64" s="2">
        <v>800</v>
      </c>
      <c r="I64" s="2">
        <v>1300</v>
      </c>
    </row>
    <row r="65" spans="2:9" x14ac:dyDescent="0.45">
      <c r="C65" s="7" t="s">
        <v>28</v>
      </c>
      <c r="D65" s="7" t="s">
        <v>30</v>
      </c>
      <c r="E65" s="1" t="s">
        <v>172</v>
      </c>
      <c r="F65" s="2" t="s">
        <v>177</v>
      </c>
      <c r="G65" s="2" t="s">
        <v>182</v>
      </c>
      <c r="H65" s="2">
        <v>2000</v>
      </c>
      <c r="I65" s="2">
        <v>7000</v>
      </c>
    </row>
    <row r="66" spans="2:9" x14ac:dyDescent="0.45">
      <c r="C66" s="7" t="s">
        <v>28</v>
      </c>
      <c r="D66" s="7" t="s">
        <v>30</v>
      </c>
      <c r="E66" s="1" t="s">
        <v>172</v>
      </c>
      <c r="F66" s="2" t="s">
        <v>179</v>
      </c>
      <c r="G66" s="2" t="s">
        <v>105</v>
      </c>
      <c r="H66" s="2">
        <v>800</v>
      </c>
      <c r="I66" s="2">
        <v>800</v>
      </c>
    </row>
    <row r="67" spans="2:9" x14ac:dyDescent="0.45">
      <c r="C67" s="7" t="s">
        <v>28</v>
      </c>
      <c r="D67" s="7" t="s">
        <v>30</v>
      </c>
      <c r="E67" s="1" t="s">
        <v>175</v>
      </c>
      <c r="F67" s="2" t="s">
        <v>192</v>
      </c>
      <c r="G67" s="2" t="s">
        <v>180</v>
      </c>
      <c r="H67" s="2">
        <v>200</v>
      </c>
      <c r="I67" s="2">
        <v>200</v>
      </c>
    </row>
    <row r="68" spans="2:9" x14ac:dyDescent="0.45">
      <c r="C68" s="7" t="s">
        <v>28</v>
      </c>
      <c r="D68" s="7" t="s">
        <v>30</v>
      </c>
      <c r="E68" s="1" t="s">
        <v>176</v>
      </c>
      <c r="F68" s="2" t="s">
        <v>181</v>
      </c>
      <c r="G68" s="2" t="s">
        <v>180</v>
      </c>
      <c r="H68" s="2">
        <v>200</v>
      </c>
      <c r="I68" s="2">
        <v>200</v>
      </c>
    </row>
    <row r="69" spans="2:9" x14ac:dyDescent="0.45">
      <c r="C69" s="7" t="s">
        <v>35</v>
      </c>
      <c r="D69" s="7" t="s">
        <v>36</v>
      </c>
      <c r="E69" s="7" t="s">
        <v>36</v>
      </c>
      <c r="F69" s="2" t="s">
        <v>186</v>
      </c>
      <c r="G69" s="2" t="s">
        <v>187</v>
      </c>
      <c r="H69" s="2">
        <v>500</v>
      </c>
      <c r="I69" s="2">
        <v>600</v>
      </c>
    </row>
    <row r="70" spans="2:9" x14ac:dyDescent="0.45">
      <c r="C70" s="7" t="s">
        <v>35</v>
      </c>
      <c r="D70" s="7" t="s">
        <v>36</v>
      </c>
      <c r="E70" s="7" t="s">
        <v>36</v>
      </c>
      <c r="F70" s="2" t="s">
        <v>188</v>
      </c>
      <c r="G70" s="2" t="s">
        <v>187</v>
      </c>
      <c r="H70" s="2">
        <v>2000</v>
      </c>
      <c r="I70" s="2">
        <v>2000</v>
      </c>
    </row>
    <row r="71" spans="2:9" x14ac:dyDescent="0.45">
      <c r="C71" s="7" t="s">
        <v>37</v>
      </c>
      <c r="D71" s="7" t="s">
        <v>38</v>
      </c>
      <c r="E71" s="1" t="s">
        <v>190</v>
      </c>
      <c r="F71" s="10" t="s">
        <v>189</v>
      </c>
      <c r="G71" s="2" t="s">
        <v>187</v>
      </c>
      <c r="H71" s="2">
        <v>1500</v>
      </c>
      <c r="I71" s="2">
        <v>1500</v>
      </c>
    </row>
    <row r="72" spans="2:9" x14ac:dyDescent="0.45">
      <c r="B72" s="7" t="s">
        <v>18</v>
      </c>
      <c r="C72" s="7" t="s">
        <v>43</v>
      </c>
      <c r="D72" s="7" t="s">
        <v>49</v>
      </c>
    </row>
    <row r="73" spans="2:9" x14ac:dyDescent="0.45">
      <c r="C73" s="7" t="s">
        <v>54</v>
      </c>
      <c r="D73" s="7" t="s">
        <v>55</v>
      </c>
    </row>
    <row r="74" spans="2:9" x14ac:dyDescent="0.45">
      <c r="C74" s="7" t="s">
        <v>44</v>
      </c>
      <c r="D74" s="7" t="s">
        <v>48</v>
      </c>
      <c r="E74" s="1" t="s">
        <v>196</v>
      </c>
      <c r="F74" s="2" t="s">
        <v>197</v>
      </c>
      <c r="G74" s="2" t="s">
        <v>198</v>
      </c>
      <c r="H74" s="2">
        <v>200</v>
      </c>
      <c r="I74" s="2">
        <v>250</v>
      </c>
    </row>
    <row r="75" spans="2:9" x14ac:dyDescent="0.45">
      <c r="C75" s="7" t="s">
        <v>44</v>
      </c>
      <c r="D75" s="7" t="s">
        <v>48</v>
      </c>
      <c r="E75" s="1" t="s">
        <v>196</v>
      </c>
      <c r="F75" s="2" t="s">
        <v>197</v>
      </c>
      <c r="G75" s="2" t="s">
        <v>198</v>
      </c>
      <c r="H75" s="2">
        <v>200</v>
      </c>
      <c r="I75" s="2">
        <v>250</v>
      </c>
    </row>
    <row r="76" spans="2:9" x14ac:dyDescent="0.45">
      <c r="C76" s="7" t="s">
        <v>44</v>
      </c>
      <c r="D76" s="7" t="s">
        <v>48</v>
      </c>
      <c r="E76" s="1" t="s">
        <v>196</v>
      </c>
      <c r="F76" s="2" t="s">
        <v>197</v>
      </c>
      <c r="G76" s="2" t="s">
        <v>198</v>
      </c>
      <c r="H76" s="2">
        <v>200</v>
      </c>
      <c r="I76" s="2">
        <v>250</v>
      </c>
    </row>
    <row r="77" spans="2:9" x14ac:dyDescent="0.45">
      <c r="C77" s="7" t="s">
        <v>44</v>
      </c>
      <c r="D77" s="7" t="s">
        <v>48</v>
      </c>
      <c r="E77" s="1" t="s">
        <v>196</v>
      </c>
      <c r="F77" s="2" t="s">
        <v>197</v>
      </c>
      <c r="G77" s="2" t="s">
        <v>198</v>
      </c>
      <c r="H77" s="2">
        <v>200</v>
      </c>
      <c r="I77" s="2">
        <v>250</v>
      </c>
    </row>
    <row r="78" spans="2:9" x14ac:dyDescent="0.45">
      <c r="C78" s="7" t="s">
        <v>45</v>
      </c>
      <c r="D78" s="7" t="s">
        <v>47</v>
      </c>
      <c r="E78" s="1" t="s">
        <v>199</v>
      </c>
      <c r="F78" s="2" t="s">
        <v>197</v>
      </c>
      <c r="G78" s="2" t="s">
        <v>202</v>
      </c>
      <c r="H78" s="2">
        <v>150</v>
      </c>
      <c r="I78" s="2">
        <v>200</v>
      </c>
    </row>
    <row r="79" spans="2:9" x14ac:dyDescent="0.45">
      <c r="C79" s="7" t="s">
        <v>45</v>
      </c>
      <c r="D79" s="7" t="s">
        <v>47</v>
      </c>
      <c r="E79" s="1" t="s">
        <v>199</v>
      </c>
      <c r="F79" s="2" t="s">
        <v>200</v>
      </c>
      <c r="G79" s="2" t="s">
        <v>202</v>
      </c>
      <c r="H79" s="2">
        <v>150</v>
      </c>
      <c r="I79" s="2">
        <v>200</v>
      </c>
    </row>
    <row r="80" spans="2:9" x14ac:dyDescent="0.45">
      <c r="C80" s="7" t="s">
        <v>45</v>
      </c>
      <c r="D80" s="7" t="s">
        <v>47</v>
      </c>
      <c r="E80" s="1" t="s">
        <v>199</v>
      </c>
      <c r="F80" s="2" t="s">
        <v>201</v>
      </c>
      <c r="G80" s="2" t="s">
        <v>202</v>
      </c>
      <c r="H80" s="2">
        <v>150</v>
      </c>
      <c r="I80" s="2">
        <v>200</v>
      </c>
    </row>
    <row r="81" spans="3:9" x14ac:dyDescent="0.45">
      <c r="C81" s="7" t="s">
        <v>50</v>
      </c>
      <c r="D81" s="7" t="s">
        <v>46</v>
      </c>
      <c r="E81" s="1" t="s">
        <v>193</v>
      </c>
      <c r="F81" s="2" t="s">
        <v>194</v>
      </c>
      <c r="G81" s="2" t="s">
        <v>195</v>
      </c>
      <c r="H81" s="2">
        <v>200</v>
      </c>
      <c r="I81" s="2">
        <v>200</v>
      </c>
    </row>
    <row r="82" spans="3:9" x14ac:dyDescent="0.45">
      <c r="C82" s="7" t="s">
        <v>50</v>
      </c>
      <c r="D82" s="7" t="s">
        <v>46</v>
      </c>
      <c r="E82" s="1" t="s">
        <v>193</v>
      </c>
      <c r="F82" s="2" t="s">
        <v>194</v>
      </c>
      <c r="G82" s="2" t="s">
        <v>195</v>
      </c>
      <c r="H82" s="2">
        <v>200</v>
      </c>
      <c r="I82" s="2">
        <v>200</v>
      </c>
    </row>
    <row r="83" spans="3:9" x14ac:dyDescent="0.45">
      <c r="C83" s="7" t="s">
        <v>51</v>
      </c>
      <c r="D83" s="7" t="s">
        <v>52</v>
      </c>
      <c r="E83" s="1" t="s">
        <v>203</v>
      </c>
      <c r="F83" s="2" t="s">
        <v>204</v>
      </c>
      <c r="G83" s="2" t="s">
        <v>205</v>
      </c>
      <c r="H83" s="2">
        <v>2000</v>
      </c>
      <c r="I83" s="2">
        <v>4000</v>
      </c>
    </row>
    <row r="84" spans="3:9" x14ac:dyDescent="0.45">
      <c r="D84" s="7"/>
    </row>
    <row r="85" spans="3:9" x14ac:dyDescent="0.45">
      <c r="D85" s="7"/>
    </row>
    <row r="86" spans="3:9" x14ac:dyDescent="0.45">
      <c r="D86" s="7"/>
    </row>
    <row r="87" spans="3:9" x14ac:dyDescent="0.45">
      <c r="D87" s="7"/>
    </row>
    <row r="88" spans="3:9" x14ac:dyDescent="0.45">
      <c r="D88" s="7"/>
    </row>
    <row r="89" spans="3:9" x14ac:dyDescent="0.45">
      <c r="D89" s="7"/>
    </row>
    <row r="90" spans="3:9" x14ac:dyDescent="0.45">
      <c r="D90" s="7"/>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B0D8-6AEB-4D9C-A990-CAE4E01F6C3B}">
  <dimension ref="B3:E8"/>
  <sheetViews>
    <sheetView workbookViewId="0">
      <selection activeCell="E16" sqref="E16"/>
    </sheetView>
  </sheetViews>
  <sheetFormatPr defaultRowHeight="17" x14ac:dyDescent="0.45"/>
  <cols>
    <col min="2" max="2" width="11.5" customWidth="1"/>
    <col min="3" max="3" width="20.75" customWidth="1"/>
    <col min="4" max="4" width="24.4140625" customWidth="1"/>
    <col min="5" max="5" width="23" customWidth="1"/>
  </cols>
  <sheetData>
    <row r="3" spans="2:5" ht="17.5" thickBot="1" x14ac:dyDescent="0.5"/>
    <row r="4" spans="2:5" ht="28.5" thickBot="1" x14ac:dyDescent="0.5">
      <c r="B4" s="15" t="s">
        <v>208</v>
      </c>
      <c r="C4" s="15" t="s">
        <v>209</v>
      </c>
      <c r="D4" s="15" t="s">
        <v>210</v>
      </c>
      <c r="E4" s="15" t="s">
        <v>211</v>
      </c>
    </row>
    <row r="5" spans="2:5" ht="28.5" thickBot="1" x14ac:dyDescent="0.5">
      <c r="B5" s="15" t="s">
        <v>212</v>
      </c>
      <c r="C5" s="11" t="s">
        <v>213</v>
      </c>
      <c r="D5" s="11" t="s">
        <v>214</v>
      </c>
      <c r="E5" s="11" t="s">
        <v>215</v>
      </c>
    </row>
    <row r="6" spans="2:5" ht="17.5" thickBot="1" x14ac:dyDescent="0.5">
      <c r="B6" s="15" t="s">
        <v>216</v>
      </c>
      <c r="C6" s="11" t="s">
        <v>217</v>
      </c>
      <c r="D6" s="11" t="s">
        <v>218</v>
      </c>
      <c r="E6" s="11" t="s">
        <v>219</v>
      </c>
    </row>
    <row r="7" spans="2:5" ht="17.5" thickBot="1" x14ac:dyDescent="0.5">
      <c r="B7" s="15" t="s">
        <v>220</v>
      </c>
      <c r="C7" s="11" t="s">
        <v>217</v>
      </c>
      <c r="D7" s="11" t="s">
        <v>221</v>
      </c>
      <c r="E7" s="11" t="s">
        <v>219</v>
      </c>
    </row>
    <row r="8" spans="2:5" ht="17.5" thickBot="1" x14ac:dyDescent="0.5">
      <c r="B8" s="15" t="s">
        <v>222</v>
      </c>
      <c r="C8" s="11" t="s">
        <v>217</v>
      </c>
      <c r="D8" s="11" t="s">
        <v>223</v>
      </c>
      <c r="E8" s="11" t="s">
        <v>224</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A5FCB-FDE3-43A1-8063-91F89F5FE889}">
  <dimension ref="B3:D7"/>
  <sheetViews>
    <sheetView workbookViewId="0">
      <selection activeCell="C13" sqref="C13"/>
    </sheetView>
  </sheetViews>
  <sheetFormatPr defaultRowHeight="17" x14ac:dyDescent="0.45"/>
  <cols>
    <col min="2" max="2" width="17" customWidth="1"/>
    <col min="3" max="3" width="14.58203125" customWidth="1"/>
    <col min="4" max="4" width="23.75" customWidth="1"/>
  </cols>
  <sheetData>
    <row r="3" spans="2:4" ht="17.5" thickBot="1" x14ac:dyDescent="0.5"/>
    <row r="4" spans="2:4" ht="17.5" thickBot="1" x14ac:dyDescent="0.5">
      <c r="B4" s="12" t="s">
        <v>208</v>
      </c>
      <c r="C4" s="14" t="s">
        <v>225</v>
      </c>
      <c r="D4" s="14" t="s">
        <v>230</v>
      </c>
    </row>
    <row r="5" spans="2:4" ht="17.5" thickBot="1" x14ac:dyDescent="0.5">
      <c r="B5" s="12" t="s">
        <v>216</v>
      </c>
      <c r="C5" s="13" t="s">
        <v>226</v>
      </c>
      <c r="D5" s="11" t="s">
        <v>229</v>
      </c>
    </row>
    <row r="6" spans="2:4" ht="17.5" thickBot="1" x14ac:dyDescent="0.5">
      <c r="B6" s="12" t="s">
        <v>220</v>
      </c>
      <c r="C6" s="13" t="s">
        <v>227</v>
      </c>
      <c r="D6" s="11" t="s">
        <v>229</v>
      </c>
    </row>
    <row r="7" spans="2:4" ht="17.5" thickBot="1" x14ac:dyDescent="0.5">
      <c r="B7" s="12" t="s">
        <v>232</v>
      </c>
      <c r="C7" s="13" t="s">
        <v>228</v>
      </c>
      <c r="D7" s="11" t="s">
        <v>231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Layout 설계 원리</vt:lpstr>
      <vt:lpstr>Room 범례</vt:lpstr>
      <vt:lpstr>제조장비 범례</vt:lpstr>
      <vt:lpstr>환기 횟수</vt:lpstr>
      <vt:lpstr>출입복장 규정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Namho Kim</dc:creator>
  <cp:lastModifiedBy>Namho Kim</cp:lastModifiedBy>
  <dcterms:created xsi:type="dcterms:W3CDTF">2026-05-09T02:41:50Z</dcterms:created>
  <dcterms:modified xsi:type="dcterms:W3CDTF">2026-05-11T10:11:32Z</dcterms:modified>
</cp:coreProperties>
</file>