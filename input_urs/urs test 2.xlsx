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제조공정 흐름도" sheetId="1" r:id="rId5"/>
    <sheet name="Room 요구 규격서" sheetId="2" r:id="rId6"/>
    <sheet name="제조 장비 규격서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<sst xmlns="http://schemas.openxmlformats.org/spreadsheetml/2006/main" uniqueCount="276">
  <si>
    <t>[제품 개요]</t>
  </si>
  <si>
    <t>의약품 구분</t>
  </si>
  <si>
    <t>품목 종류</t>
  </si>
  <si>
    <t>공정 단계</t>
  </si>
  <si>
    <t>시설 구분</t>
  </si>
  <si>
    <t>공정장비 컨셉</t>
  </si>
  <si>
    <t>목표 규제기관</t>
  </si>
  <si>
    <t>Therputics</t>
  </si>
  <si>
    <t>mAb</t>
  </si>
  <si>
    <t>원료의약품 (DS)</t>
  </si>
  <si>
    <t>전용 시설</t>
  </si>
  <si>
    <t>Multi-use</t>
  </si>
  <si>
    <t>FDA</t>
  </si>
  <si>
    <t>[제조공정 흐름도]</t>
  </si>
  <si>
    <t>구분</t>
  </si>
  <si>
    <t>Room 명</t>
  </si>
  <si>
    <t>(영문명)</t>
  </si>
  <si>
    <t>주요 공정 No.</t>
  </si>
  <si>
    <t>세부 공정 No.</t>
  </si>
  <si>
    <t>주공정 구역</t>
  </si>
  <si>
    <t>배지조제실</t>
  </si>
  <si>
    <t>Media preparation</t>
  </si>
  <si>
    <t>P1. 배지 제조</t>
  </si>
  <si>
    <t>P1-1. 배지 원료 칭량</t>
  </si>
  <si>
    <t>P1-2. 배지 제조</t>
  </si>
  <si>
    <t>P1-3. 배지 여과</t>
  </si>
  <si>
    <t>버퍼조제실</t>
  </si>
  <si>
    <t>Buffer preparation</t>
  </si>
  <si>
    <t>P2. 버퍼 제조</t>
  </si>
  <si>
    <t>P2-1. 버퍼 원료 칭량</t>
  </si>
  <si>
    <t>P2-2. 버퍼 제조</t>
  </si>
  <si>
    <t>P2-3. 버퍼 여과</t>
  </si>
  <si>
    <t>Seed 접종실</t>
  </si>
  <si>
    <t>Inoculation</t>
  </si>
  <si>
    <t>P3. Seed 접종</t>
  </si>
  <si>
    <t>P3-1. Cell bank 접종</t>
  </si>
  <si>
    <t>P3-2. Flask 배양 1</t>
  </si>
  <si>
    <t>P3-2. Flask 배양 2</t>
  </si>
  <si>
    <t>배양실</t>
  </si>
  <si>
    <t xml:space="preserve">Cell Culture </t>
  </si>
  <si>
    <t>P4. 배양</t>
  </si>
  <si>
    <t>P4-1. 배양 N-4</t>
  </si>
  <si>
    <t>P4-2. 배양 N-3</t>
  </si>
  <si>
    <t>P4-3. 배양 N-2</t>
  </si>
  <si>
    <t>P4-4. 배양 N-1</t>
  </si>
  <si>
    <t>P4-5. 생산배양</t>
  </si>
  <si>
    <t>회수실</t>
  </si>
  <si>
    <t>Harvest</t>
  </si>
  <si>
    <t>P5. 회수</t>
  </si>
  <si>
    <t>P5-1. 연속원심분리</t>
  </si>
  <si>
    <t>P5-2. Depthfiltration</t>
  </si>
  <si>
    <t>정제실1</t>
  </si>
  <si>
    <t>Purification 1</t>
  </si>
  <si>
    <t>P6. 정제1</t>
  </si>
  <si>
    <t>P6-1. 크로마토그래피 1</t>
  </si>
  <si>
    <t>P6-2. Virus inactivation</t>
  </si>
  <si>
    <t>P6-3. 크로마토그래피 2</t>
  </si>
  <si>
    <t>P6-4. 크로마토그래피 3</t>
  </si>
  <si>
    <t>P6-5. Virus filtration</t>
  </si>
  <si>
    <t>정제실2</t>
  </si>
  <si>
    <t>Purification 2</t>
  </si>
  <si>
    <t>P7. 정제2</t>
  </si>
  <si>
    <t>P7-1. 농축 및 버퍼교환</t>
  </si>
  <si>
    <t>P7-2. Filtration</t>
  </si>
  <si>
    <t>P7-3. Bulk fill</t>
  </si>
  <si>
    <t>[건축물 구조]</t>
  </si>
  <si>
    <t>층수</t>
  </si>
  <si>
    <t>제공 면적 (m2)</t>
  </si>
  <si>
    <t>제공 규격 (가로*세로)</t>
  </si>
  <si>
    <t>인원 출입구</t>
  </si>
  <si>
    <t>자재 반입구</t>
  </si>
  <si>
    <t>폐기물 반출구</t>
  </si>
  <si>
    <t>6000mm * 3000mm</t>
  </si>
  <si>
    <t>3시 방향</t>
  </si>
  <si>
    <t>9시 방향</t>
  </si>
  <si>
    <t>6시 방향</t>
  </si>
  <si>
    <t>[Room 요구 규격서]</t>
  </si>
  <si>
    <t>청정도</t>
  </si>
  <si>
    <t>목표 환기횟수
(ACH)</t>
  </si>
  <si>
    <t>Room 출입동선</t>
  </si>
  <si>
    <t>착용 복장</t>
  </si>
  <si>
    <t>면적 비율 (%)</t>
  </si>
  <si>
    <t>배지 및 버퍼조제실</t>
  </si>
  <si>
    <t>Grade B</t>
  </si>
  <si>
    <t>Both-way</t>
  </si>
  <si>
    <t>무진복</t>
  </si>
  <si>
    <t>P2-1. 버퍼 원료 칭량, P2-2. 버퍼 제조, P2-3. 버퍼 여과</t>
  </si>
  <si>
    <t>One-way</t>
  </si>
  <si>
    <t>P3-1. Cell bank 접종, P3-2. Flask 배양 1, P3-3. Flask 배양 2</t>
  </si>
  <si>
    <t>Seed 접종 전실</t>
  </si>
  <si>
    <t>AL-in Inoculation</t>
  </si>
  <si>
    <t>Grade C</t>
  </si>
  <si>
    <t>Seed 접종 후실</t>
  </si>
  <si>
    <t>AL-out Inoculation</t>
  </si>
  <si>
    <t>P4-1. 배양 N-4, P4-2. 배양 N-3, P4-3. 배양 N-2, P4-4. 배양 N-1, P4-5. 생산배양</t>
  </si>
  <si>
    <t>배양실 전실(P)</t>
  </si>
  <si>
    <t xml:space="preserve">PAL-in Cell Culture </t>
  </si>
  <si>
    <t>배양실 전실(M)</t>
  </si>
  <si>
    <t xml:space="preserve">MAL-in Cell Culture </t>
  </si>
  <si>
    <t>배양실 후실(P)</t>
  </si>
  <si>
    <t xml:space="preserve">PAL-out Cell Culture </t>
  </si>
  <si>
    <t>배양실 후실(M)</t>
  </si>
  <si>
    <t xml:space="preserve">MAL-out Cell Culture </t>
  </si>
  <si>
    <t>Grade D</t>
  </si>
  <si>
    <t>P5-1. 연속원심분리, P5-2. Depthfiltration</t>
  </si>
  <si>
    <t>회수실 전실(P)</t>
  </si>
  <si>
    <t>PAL-in Harvest</t>
  </si>
  <si>
    <t>회수실 전실(M)</t>
  </si>
  <si>
    <t>MAL-in Harvest</t>
  </si>
  <si>
    <t>회수실 후실(P)</t>
  </si>
  <si>
    <t>PAL-out Harvest</t>
  </si>
  <si>
    <t>회수실 후실(M)</t>
  </si>
  <si>
    <t>MAL-out Harvest</t>
  </si>
  <si>
    <t>P6-1. 크로마토그래피 1, P6-2. Virus inactivation, P6-3. 크로마토그래피 2, P6-4. 크로마토그래피 3, P6-5. Virus filtration</t>
  </si>
  <si>
    <t>정제실1 전실(P)</t>
  </si>
  <si>
    <t>PAL-in Purification 1</t>
  </si>
  <si>
    <t>정제실1 전실(M)</t>
  </si>
  <si>
    <t>MAL-in Purification 1</t>
  </si>
  <si>
    <t>정제실1 후실(P)</t>
  </si>
  <si>
    <t>PAL-out Purification 1</t>
  </si>
  <si>
    <t>정제실1 후실(M)</t>
  </si>
  <si>
    <t>MAL-out Purification 1</t>
  </si>
  <si>
    <t>P7-1. 농축 및 버퍼교환, P7-2. Filtration, P7-3. Bulk fill</t>
  </si>
  <si>
    <t>정제실2 전실</t>
  </si>
  <si>
    <t>AL-in Purification 2</t>
  </si>
  <si>
    <t>정제실2 후실</t>
  </si>
  <si>
    <t>AL-out Purification 2</t>
  </si>
  <si>
    <t>공정 준비실</t>
  </si>
  <si>
    <t>Preparation</t>
  </si>
  <si>
    <t>착의실</t>
  </si>
  <si>
    <t>Gowning</t>
  </si>
  <si>
    <t>공급복도</t>
  </si>
  <si>
    <t>Supply corridor</t>
  </si>
  <si>
    <t>리턴복도</t>
  </si>
  <si>
    <t>Return corridor</t>
  </si>
  <si>
    <t>스크럽</t>
  </si>
  <si>
    <t>세척실</t>
  </si>
  <si>
    <t>Washing</t>
  </si>
  <si>
    <t>보조 구역</t>
  </si>
  <si>
    <t>자재 보관실</t>
  </si>
  <si>
    <t>Material storage</t>
  </si>
  <si>
    <t>세포주 보관실</t>
  </si>
  <si>
    <t>Cell bank storage</t>
  </si>
  <si>
    <t>복도</t>
  </si>
  <si>
    <t>Corridor</t>
  </si>
  <si>
    <t>자재반입실</t>
  </si>
  <si>
    <t>Material-in</t>
  </si>
  <si>
    <t>CNC</t>
  </si>
  <si>
    <t>폐기물반출실</t>
  </si>
  <si>
    <t>Waste-out</t>
  </si>
  <si>
    <t>갱의실 (여)</t>
  </si>
  <si>
    <t>Gowning Female</t>
  </si>
  <si>
    <t>갱의실 (남)</t>
  </si>
  <si>
    <t>Gowning Male</t>
  </si>
  <si>
    <t>모니터링실</t>
  </si>
  <si>
    <t>Monitoring</t>
  </si>
  <si>
    <t xml:space="preserve">NC </t>
  </si>
  <si>
    <t>Not applicable</t>
  </si>
  <si>
    <t>일상복</t>
  </si>
  <si>
    <t>NC 구역</t>
  </si>
  <si>
    <t>화장실 (여)</t>
  </si>
  <si>
    <t>Toilet (Female)</t>
  </si>
  <si>
    <t>화장실 (남)</t>
  </si>
  <si>
    <t>Toilet (Male)</t>
  </si>
  <si>
    <t>로비</t>
  </si>
  <si>
    <t>Lobby</t>
  </si>
  <si>
    <t>관람복도</t>
  </si>
  <si>
    <t>Corridor visitor</t>
  </si>
  <si>
    <t>합계 (목표=100)</t>
  </si>
  <si>
    <t>[제조 장비 규격서]</t>
  </si>
  <si>
    <t>제조 장비</t>
  </si>
  <si>
    <t>규격 (W*D*H mm)</t>
  </si>
  <si>
    <t>중량 (kg)</t>
  </si>
  <si>
    <t>최대 운영 중량 (kg)</t>
  </si>
  <si>
    <t>배지 조제실</t>
  </si>
  <si>
    <t>Weigh booth</t>
  </si>
  <si>
    <t>3500*3000*3000</t>
  </si>
  <si>
    <t xml:space="preserve">Mixing Tank-1 100L </t>
  </si>
  <si>
    <t>2000*2000*2000</t>
  </si>
  <si>
    <t xml:space="preserve">Mixing Tank-2 500L </t>
  </si>
  <si>
    <t>2500*2000*3000</t>
  </si>
  <si>
    <t>Mixing Tank-3 2000L</t>
  </si>
  <si>
    <t>3000*2500*4000</t>
  </si>
  <si>
    <t>Mixing Tank-4 10000L</t>
  </si>
  <si>
    <t>4000*3000*5000</t>
  </si>
  <si>
    <t>버퍼 조제실</t>
  </si>
  <si>
    <t>Mixing Tank-5 500L</t>
  </si>
  <si>
    <t>Mixing Tank-6 2000L</t>
  </si>
  <si>
    <t>Mixing Tank-7 4000L</t>
  </si>
  <si>
    <t>3500*2500*5000</t>
  </si>
  <si>
    <t>Mixing Tank-8 10000L</t>
  </si>
  <si>
    <t>Isolator</t>
  </si>
  <si>
    <t>4000*2000*3000</t>
  </si>
  <si>
    <t>Centrifuge</t>
  </si>
  <si>
    <t>1000*600*500</t>
  </si>
  <si>
    <t>Incubator</t>
  </si>
  <si>
    <t>1200*800*600</t>
  </si>
  <si>
    <t>P3-2. Flask 배양 1, P3-2. Flask 배양 2</t>
  </si>
  <si>
    <t>Cleanbench</t>
  </si>
  <si>
    <t>2000*800*2000</t>
  </si>
  <si>
    <t>Wave Reactor 20L</t>
  </si>
  <si>
    <t>1200*600*800</t>
  </si>
  <si>
    <t>BioReactor 100L</t>
  </si>
  <si>
    <t>2000*2000*2500</t>
  </si>
  <si>
    <t>BioReactor 500L</t>
  </si>
  <si>
    <t>2500*2000*3500</t>
  </si>
  <si>
    <t>BioReactor 2000L</t>
  </si>
  <si>
    <t>3000*2500*4500</t>
  </si>
  <si>
    <t>BioReactor 10000L</t>
  </si>
  <si>
    <t>4000*3000*5500</t>
  </si>
  <si>
    <t>Storage tank-1 2000L</t>
  </si>
  <si>
    <t>Continuous centrifuge</t>
  </si>
  <si>
    <t>3000*3000*3000</t>
  </si>
  <si>
    <t>Depth filter system *2</t>
  </si>
  <si>
    <t>2000*600*1800</t>
  </si>
  <si>
    <t>Storage tank-2 10000L</t>
  </si>
  <si>
    <t>3000*3000*5000</t>
  </si>
  <si>
    <t>Chromatography system 1</t>
  </si>
  <si>
    <t>2000*1200*2000</t>
  </si>
  <si>
    <t>Column 1500mm</t>
  </si>
  <si>
    <t>Storage tank-3 4000L</t>
  </si>
  <si>
    <t>Storage tank-4 3000L</t>
  </si>
  <si>
    <t>P6-1. 크로마토그래피 1, P6-3. 크로마토그래피 2, P6-4. 크로마토그래피 3</t>
  </si>
  <si>
    <t>Buffer tank-1 2000L</t>
  </si>
  <si>
    <t>Buffer tank-2 2000L</t>
  </si>
  <si>
    <t>Buffer tank-3 2000L</t>
  </si>
  <si>
    <t>Buffer tank-4 4000L</t>
  </si>
  <si>
    <t>Buffer tank-5 4000L</t>
  </si>
  <si>
    <t>Buffer tank-6 4000L</t>
  </si>
  <si>
    <t>Reactor 5000L</t>
  </si>
  <si>
    <t>3000*2500*5000</t>
  </si>
  <si>
    <t>Acid tank 200L</t>
  </si>
  <si>
    <t>Base tank 200L</t>
  </si>
  <si>
    <t>Depth filter system</t>
  </si>
  <si>
    <t>Storage tank-5 5000L</t>
  </si>
  <si>
    <t>Chromatography system 2</t>
  </si>
  <si>
    <t>Column 1000mm</t>
  </si>
  <si>
    <t>Storage tank-6 8000L</t>
  </si>
  <si>
    <t>3500*3000*5500</t>
  </si>
  <si>
    <t>Chromatography system 3</t>
  </si>
  <si>
    <t>Column 800mm</t>
  </si>
  <si>
    <t>Storage tank-7 2000L</t>
  </si>
  <si>
    <t>Nano filtration system</t>
  </si>
  <si>
    <t>2000*800*1500</t>
  </si>
  <si>
    <t>Storage tank-8 2000L</t>
  </si>
  <si>
    <t>TFF system</t>
  </si>
  <si>
    <t>2500*2000*2500</t>
  </si>
  <si>
    <t>Holding tank 500L</t>
  </si>
  <si>
    <t>Buffer tank-7 5000L</t>
  </si>
  <si>
    <t>Storage tank-9 500L</t>
  </si>
  <si>
    <t>Filtration system</t>
  </si>
  <si>
    <t>Bulk fill system</t>
  </si>
  <si>
    <t>Cleanbooth</t>
  </si>
  <si>
    <t>3000*2500*3000</t>
  </si>
  <si>
    <t>Autoclave</t>
  </si>
  <si>
    <t>COP system</t>
  </si>
  <si>
    <t>DS 보관실</t>
  </si>
  <si>
    <t>DS storage</t>
  </si>
  <si>
    <t>Deep freezer 1</t>
  </si>
  <si>
    <t>1200*1000*2000</t>
  </si>
  <si>
    <t>Deep freezer 2</t>
  </si>
  <si>
    <t>Deep freezer 3</t>
  </si>
  <si>
    <t>Deep freezer 4</t>
  </si>
  <si>
    <t>IPC 실</t>
  </si>
  <si>
    <t>IPC</t>
  </si>
  <si>
    <t xml:space="preserve">Deep freezer </t>
  </si>
  <si>
    <t>900*1000*2000</t>
  </si>
  <si>
    <t>Freezer</t>
  </si>
  <si>
    <t>Refrigerator</t>
  </si>
  <si>
    <t>Cell tank (nitrogen) 1</t>
  </si>
  <si>
    <t>1000*1000*1500</t>
  </si>
  <si>
    <t>Cell tank (nitrogen) 2</t>
  </si>
  <si>
    <t>CIP 공급실</t>
  </si>
  <si>
    <t>CIP supply</t>
  </si>
  <si>
    <t>CIP station</t>
  </si>
  <si>
    <t>5000*2000*4000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</si>
</sst>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맑은 고딕"/>
    </font>
    <font>
      <b val="1"/>
      <sz val="12"/>
      <color indexed="8"/>
      <name val="맑은 고딕"/>
    </font>
    <font>
      <b val="1"/>
      <sz val="9"/>
      <color indexed="8"/>
      <name val="맑은 고딕"/>
    </font>
    <font>
      <b val="1"/>
      <sz val="11"/>
      <color indexed="8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3" fillId="2" borderId="1" applyNumberFormat="0" applyFont="1" applyFill="1" applyBorder="1" applyAlignment="1" applyProtection="0">
      <alignment vertical="center"/>
    </xf>
    <xf numFmtId="0" fontId="3" fillId="2" borderId="1" applyNumberFormat="0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left" vertical="center"/>
    </xf>
    <xf numFmtId="0" fontId="0" fillId="2" borderId="2" applyNumberFormat="0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5" fillId="3" borderId="4" applyNumberFormat="1" applyFont="1" applyFill="1" applyBorder="1" applyAlignment="1" applyProtection="0">
      <alignment horizontal="center" vertical="center"/>
    </xf>
    <xf numFmtId="49" fontId="5" fillId="3" borderId="4" applyNumberFormat="1" applyFont="1" applyFill="1" applyBorder="1" applyAlignment="1" applyProtection="0">
      <alignment vertical="center"/>
    </xf>
    <xf numFmtId="0" fontId="5" fillId="2" borderId="5" applyNumberFormat="0" applyFont="1" applyFill="1" applyBorder="1" applyAlignment="1" applyProtection="0">
      <alignment horizontal="center" vertical="center"/>
    </xf>
    <xf numFmtId="49" fontId="0" fillId="4" borderId="4" applyNumberFormat="1" applyFont="1" applyFill="1" applyBorder="1" applyAlignment="1" applyProtection="0">
      <alignment vertical="center"/>
    </xf>
    <xf numFmtId="49" fontId="3" fillId="4" borderId="4" applyNumberFormat="1" applyFont="1" applyFill="1" applyBorder="1" applyAlignment="1" applyProtection="0">
      <alignment horizontal="center" vertical="center"/>
    </xf>
    <xf numFmtId="0" fontId="3" fillId="2" borderId="5" applyNumberFormat="0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vertical="center"/>
    </xf>
    <xf numFmtId="0" fontId="3" fillId="2" borderId="6" applyNumberFormat="0" applyFont="1" applyFill="1" applyBorder="1" applyAlignment="1" applyProtection="0">
      <alignment horizontal="center" vertical="center"/>
    </xf>
    <xf numFmtId="49" fontId="5" fillId="3" borderId="7" applyNumberFormat="1" applyFont="1" applyFill="1" applyBorder="1" applyAlignment="1" applyProtection="0">
      <alignment horizontal="center"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49" fontId="0" fillId="4" borderId="9" applyNumberFormat="1" applyFont="1" applyFill="1" applyBorder="1" applyAlignment="1" applyProtection="0">
      <alignment vertical="center"/>
    </xf>
    <xf numFmtId="49" fontId="0" fillId="4" borderId="10" applyNumberFormat="1" applyFont="1" applyFill="1" applyBorder="1" applyAlignment="1" applyProtection="0">
      <alignment vertical="center"/>
    </xf>
    <xf numFmtId="49" fontId="3" fillId="4" borderId="10" applyNumberFormat="1" applyFont="1" applyFill="1" applyBorder="1" applyAlignment="1" applyProtection="0">
      <alignment horizontal="center" vertical="center"/>
    </xf>
    <xf numFmtId="49" fontId="0" fillId="4" borderId="11" applyNumberFormat="1" applyFont="1" applyFill="1" applyBorder="1" applyAlignment="1" applyProtection="0">
      <alignment vertical="center"/>
    </xf>
    <xf numFmtId="0" fontId="0" fillId="2" borderId="12" applyNumberFormat="0" applyFont="1" applyFill="1" applyBorder="1" applyAlignment="1" applyProtection="0">
      <alignment vertical="center"/>
    </xf>
    <xf numFmtId="49" fontId="0" fillId="4" borderId="13" applyNumberFormat="1" applyFont="1" applyFill="1" applyBorder="1" applyAlignment="1" applyProtection="0">
      <alignment vertical="center"/>
    </xf>
    <xf numFmtId="49" fontId="0" fillId="4" borderId="14" applyNumberFormat="1" applyFont="1" applyFill="1" applyBorder="1" applyAlignment="1" applyProtection="0">
      <alignment vertical="center"/>
    </xf>
    <xf numFmtId="49" fontId="0" fillId="4" borderId="15" applyNumberFormat="1" applyFont="1" applyFill="1" applyBorder="1" applyAlignment="1" applyProtection="0">
      <alignment vertical="center"/>
    </xf>
    <xf numFmtId="49" fontId="0" fillId="4" borderId="7" applyNumberFormat="1" applyFont="1" applyFill="1" applyBorder="1" applyAlignment="1" applyProtection="0">
      <alignment vertical="center"/>
    </xf>
    <xf numFmtId="49" fontId="3" fillId="4" borderId="7" applyNumberFormat="1" applyFont="1" applyFill="1" applyBorder="1" applyAlignment="1" applyProtection="0">
      <alignment horizontal="center" vertical="center"/>
    </xf>
    <xf numFmtId="49" fontId="0" fillId="4" borderId="16" applyNumberFormat="1" applyFont="1" applyFill="1" applyBorder="1" applyAlignment="1" applyProtection="0">
      <alignment vertical="center"/>
    </xf>
    <xf numFmtId="49" fontId="0" fillId="4" borderId="11" applyNumberFormat="1" applyFont="1" applyFill="1" applyBorder="1" applyAlignment="1" applyProtection="0">
      <alignment vertical="center" wrapText="1"/>
    </xf>
    <xf numFmtId="49" fontId="0" fillId="4" borderId="14" applyNumberFormat="1" applyFont="1" applyFill="1" applyBorder="1" applyAlignment="1" applyProtection="0">
      <alignment vertical="center" wrapText="1"/>
    </xf>
    <xf numFmtId="49" fontId="0" fillId="4" borderId="16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fillId="4" borderId="4" applyNumberFormat="1" applyFont="1" applyFill="1" applyBorder="1" applyAlignment="1" applyProtection="0">
      <alignment vertical="center"/>
    </xf>
    <xf numFmtId="49" fontId="5" fillId="3" borderId="4" applyNumberFormat="1" applyFont="1" applyFill="1" applyBorder="1" applyAlignment="1" applyProtection="0">
      <alignment horizontal="center" vertical="center" wrapText="1"/>
    </xf>
    <xf numFmtId="49" fontId="5" fillId="3" borderId="17" applyNumberFormat="1" applyFont="1" applyFill="1" applyBorder="1" applyAlignment="1" applyProtection="0">
      <alignment horizontal="center" vertical="center"/>
    </xf>
    <xf numFmtId="0" fontId="3" fillId="4" borderId="4" applyNumberFormat="1" applyFont="1" applyFill="1" applyBorder="1" applyAlignment="1" applyProtection="0">
      <alignment horizontal="center" vertical="center"/>
    </xf>
    <xf numFmtId="0" fontId="3" fillId="4" borderId="17" applyNumberFormat="1" applyFont="1" applyFill="1" applyBorder="1" applyAlignment="1" applyProtection="0">
      <alignment horizontal="center" vertical="center"/>
    </xf>
    <xf numFmtId="0" fontId="0" fillId="4" borderId="4" applyNumberFormat="0" applyFont="1" applyFill="1" applyBorder="1" applyAlignment="1" applyProtection="0">
      <alignment vertical="center"/>
    </xf>
    <xf numFmtId="49" fontId="0" fillId="4" borderId="4" applyNumberFormat="1" applyFont="1" applyFill="1" applyBorder="1" applyAlignment="1" applyProtection="0">
      <alignment vertical="center" wrapText="1"/>
    </xf>
    <xf numFmtId="0" fontId="3" fillId="4" borderId="4" applyNumberFormat="0" applyFont="1" applyFill="1" applyBorder="1" applyAlignment="1" applyProtection="0">
      <alignment horizontal="center" vertical="center"/>
    </xf>
    <xf numFmtId="0" fontId="3" fillId="4" borderId="17" applyNumberFormat="0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vertical="bottom"/>
    </xf>
    <xf numFmtId="0" fontId="6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4" borderId="17" applyNumberFormat="1" applyFont="1" applyFill="1" applyBorder="1" applyAlignment="1" applyProtection="0">
      <alignment horizontal="left" vertical="center"/>
    </xf>
    <xf numFmtId="49" fontId="3" fillId="4" borderId="17" applyNumberFormat="1" applyFont="1" applyFill="1" applyBorder="1" applyAlignment="1" applyProtection="0">
      <alignment horizontal="left" vertical="center" wrapText="1"/>
    </xf>
    <xf numFmtId="0" fontId="0" fillId="4" borderId="17" applyNumberFormat="0" applyFont="1" applyFill="1" applyBorder="1" applyAlignment="1" applyProtection="0">
      <alignment vertical="center"/>
    </xf>
    <xf numFmtId="49" fontId="3" fillId="4" borderId="4" applyNumberFormat="1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fbfbf"/>
      <rgbColor rgb="ffdaee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31"/>
  <sheetViews>
    <sheetView workbookViewId="0" showGridLines="0" defaultGridColor="1"/>
  </sheetViews>
  <sheetFormatPr defaultColWidth="8.83333" defaultRowHeight="14.5" customHeight="1" outlineLevelRow="0" outlineLevelCol="0"/>
  <cols>
    <col min="1" max="1" width="2.5" style="1" customWidth="1"/>
    <col min="2" max="2" width="10" style="1" customWidth="1"/>
    <col min="3" max="3" width="18.8516" style="1" customWidth="1"/>
    <col min="4" max="4" width="21" style="1" customWidth="1"/>
    <col min="5" max="5" width="16.5" style="1" customWidth="1"/>
    <col min="6" max="6" width="19.3516" style="1" customWidth="1"/>
    <col min="7" max="9" width="8.67188" style="1" customWidth="1"/>
    <col min="10" max="16384" width="8.85156" style="1" customWidth="1"/>
  </cols>
  <sheetData>
    <row r="1" ht="16" customHeight="1">
      <c r="A1" s="2"/>
      <c r="B1" s="2"/>
      <c r="C1" s="2"/>
      <c r="D1" s="2"/>
      <c r="E1" s="3"/>
      <c r="F1" s="3"/>
      <c r="G1" s="2"/>
      <c r="H1" s="2"/>
      <c r="I1" s="4"/>
    </row>
    <row r="2" ht="17.5" customHeight="1">
      <c r="A2" s="2"/>
      <c r="B2" t="s" s="5">
        <v>0</v>
      </c>
      <c r="C2" s="6"/>
      <c r="D2" s="6"/>
      <c r="E2" s="7"/>
      <c r="F2" s="7"/>
      <c r="G2" s="6"/>
      <c r="H2" s="2"/>
      <c r="I2" s="4"/>
    </row>
    <row r="3" ht="16" customHeight="1">
      <c r="A3" s="8"/>
      <c r="B3" t="s" s="9">
        <v>1</v>
      </c>
      <c r="C3" t="s" s="9">
        <v>2</v>
      </c>
      <c r="D3" t="s" s="9">
        <v>3</v>
      </c>
      <c r="E3" t="s" s="9">
        <v>4</v>
      </c>
      <c r="F3" t="s" s="10">
        <v>5</v>
      </c>
      <c r="G3" t="s" s="9">
        <v>6</v>
      </c>
      <c r="H3" s="11"/>
      <c r="I3" s="4"/>
    </row>
    <row r="4" ht="16" customHeight="1">
      <c r="A4" s="8"/>
      <c r="B4" t="s" s="12">
        <v>7</v>
      </c>
      <c r="C4" t="s" s="12">
        <v>8</v>
      </c>
      <c r="D4" t="s" s="13">
        <v>9</v>
      </c>
      <c r="E4" t="s" s="13">
        <v>10</v>
      </c>
      <c r="F4" t="s" s="13">
        <v>11</v>
      </c>
      <c r="G4" t="s" s="13">
        <v>12</v>
      </c>
      <c r="H4" s="14"/>
      <c r="I4" s="4"/>
    </row>
    <row r="5" ht="16" customHeight="1">
      <c r="A5" s="2"/>
      <c r="B5" s="15"/>
      <c r="C5" s="15"/>
      <c r="D5" s="16"/>
      <c r="E5" s="15"/>
      <c r="F5" s="15"/>
      <c r="G5" s="15"/>
      <c r="H5" s="2"/>
      <c r="I5" s="2"/>
    </row>
    <row r="6" ht="17.5" customHeight="1">
      <c r="A6" s="2"/>
      <c r="B6" t="s" s="5">
        <v>13</v>
      </c>
      <c r="C6" s="6"/>
      <c r="D6" s="6"/>
      <c r="E6" s="6"/>
      <c r="F6" s="6"/>
      <c r="G6" s="2"/>
      <c r="H6" s="2"/>
      <c r="I6" s="2"/>
    </row>
    <row r="7" ht="16" customHeight="1">
      <c r="A7" s="8"/>
      <c r="B7" t="s" s="17">
        <v>14</v>
      </c>
      <c r="C7" t="s" s="17">
        <v>15</v>
      </c>
      <c r="D7" t="s" s="17">
        <v>16</v>
      </c>
      <c r="E7" t="s" s="17">
        <v>17</v>
      </c>
      <c r="F7" t="s" s="17">
        <v>18</v>
      </c>
      <c r="G7" s="18"/>
      <c r="H7" s="2"/>
      <c r="I7" s="2"/>
    </row>
    <row r="8" ht="16" customHeight="1">
      <c r="A8" s="19"/>
      <c r="B8" t="s" s="20">
        <v>19</v>
      </c>
      <c r="C8" t="s" s="21">
        <v>20</v>
      </c>
      <c r="D8" t="s" s="22">
        <v>21</v>
      </c>
      <c r="E8" t="s" s="21">
        <v>22</v>
      </c>
      <c r="F8" t="s" s="23">
        <v>23</v>
      </c>
      <c r="G8" s="24"/>
      <c r="H8" s="2"/>
      <c r="I8" s="2"/>
    </row>
    <row r="9" ht="16" customHeight="1">
      <c r="A9" s="19"/>
      <c r="B9" t="s" s="25">
        <v>19</v>
      </c>
      <c r="C9" t="s" s="12">
        <v>20</v>
      </c>
      <c r="D9" t="s" s="13">
        <v>21</v>
      </c>
      <c r="E9" t="s" s="12">
        <v>22</v>
      </c>
      <c r="F9" t="s" s="26">
        <v>24</v>
      </c>
      <c r="G9" s="24"/>
      <c r="H9" s="2"/>
      <c r="I9" s="2"/>
    </row>
    <row r="10" ht="16" customHeight="1">
      <c r="A10" s="19"/>
      <c r="B10" t="s" s="27">
        <v>19</v>
      </c>
      <c r="C10" t="s" s="28">
        <v>20</v>
      </c>
      <c r="D10" t="s" s="29">
        <v>21</v>
      </c>
      <c r="E10" t="s" s="28">
        <v>22</v>
      </c>
      <c r="F10" t="s" s="30">
        <v>25</v>
      </c>
      <c r="G10" s="24"/>
      <c r="H10" s="2"/>
      <c r="I10" s="2"/>
    </row>
    <row r="11" ht="16" customHeight="1">
      <c r="A11" s="19"/>
      <c r="B11" t="s" s="20">
        <v>19</v>
      </c>
      <c r="C11" t="s" s="21">
        <v>26</v>
      </c>
      <c r="D11" t="s" s="22">
        <v>27</v>
      </c>
      <c r="E11" t="s" s="21">
        <v>28</v>
      </c>
      <c r="F11" t="s" s="23">
        <v>29</v>
      </c>
      <c r="G11" s="24"/>
      <c r="H11" s="2"/>
      <c r="I11" s="2"/>
    </row>
    <row r="12" ht="16" customHeight="1">
      <c r="A12" s="19"/>
      <c r="B12" t="s" s="25">
        <v>19</v>
      </c>
      <c r="C12" t="s" s="12">
        <v>26</v>
      </c>
      <c r="D12" t="s" s="13">
        <v>27</v>
      </c>
      <c r="E12" t="s" s="12">
        <v>28</v>
      </c>
      <c r="F12" t="s" s="26">
        <v>30</v>
      </c>
      <c r="G12" s="24"/>
      <c r="H12" s="2"/>
      <c r="I12" s="2"/>
    </row>
    <row r="13" ht="16" customHeight="1">
      <c r="A13" s="19"/>
      <c r="B13" t="s" s="27">
        <v>19</v>
      </c>
      <c r="C13" t="s" s="28">
        <v>26</v>
      </c>
      <c r="D13" t="s" s="29">
        <v>27</v>
      </c>
      <c r="E13" t="s" s="28">
        <v>28</v>
      </c>
      <c r="F13" t="s" s="30">
        <v>31</v>
      </c>
      <c r="G13" s="24"/>
      <c r="H13" s="2"/>
      <c r="I13" s="2"/>
    </row>
    <row r="14" ht="16" customHeight="1">
      <c r="A14" s="19"/>
      <c r="B14" t="s" s="20">
        <v>19</v>
      </c>
      <c r="C14" t="s" s="21">
        <v>32</v>
      </c>
      <c r="D14" t="s" s="22">
        <v>33</v>
      </c>
      <c r="E14" t="s" s="21">
        <v>34</v>
      </c>
      <c r="F14" t="s" s="23">
        <v>35</v>
      </c>
      <c r="G14" s="24"/>
      <c r="H14" s="2"/>
      <c r="I14" s="2"/>
    </row>
    <row r="15" ht="16" customHeight="1">
      <c r="A15" s="19"/>
      <c r="B15" t="s" s="25">
        <v>19</v>
      </c>
      <c r="C15" t="s" s="12">
        <v>32</v>
      </c>
      <c r="D15" t="s" s="13">
        <v>33</v>
      </c>
      <c r="E15" t="s" s="12">
        <v>34</v>
      </c>
      <c r="F15" t="s" s="26">
        <v>36</v>
      </c>
      <c r="G15" s="24"/>
      <c r="H15" s="2"/>
      <c r="I15" s="2"/>
    </row>
    <row r="16" ht="16" customHeight="1">
      <c r="A16" s="19"/>
      <c r="B16" t="s" s="27">
        <v>19</v>
      </c>
      <c r="C16" t="s" s="28">
        <v>32</v>
      </c>
      <c r="D16" t="s" s="29">
        <v>33</v>
      </c>
      <c r="E16" t="s" s="28">
        <v>34</v>
      </c>
      <c r="F16" t="s" s="30">
        <v>37</v>
      </c>
      <c r="G16" s="24"/>
      <c r="H16" s="2"/>
      <c r="I16" s="2"/>
    </row>
    <row r="17" ht="16" customHeight="1">
      <c r="A17" s="19"/>
      <c r="B17" t="s" s="20">
        <v>19</v>
      </c>
      <c r="C17" t="s" s="21">
        <v>38</v>
      </c>
      <c r="D17" t="s" s="22">
        <v>39</v>
      </c>
      <c r="E17" t="s" s="21">
        <v>40</v>
      </c>
      <c r="F17" t="s" s="31">
        <v>41</v>
      </c>
      <c r="G17" s="24"/>
      <c r="H17" s="2"/>
      <c r="I17" s="2"/>
    </row>
    <row r="18" ht="16" customHeight="1">
      <c r="A18" s="19"/>
      <c r="B18" t="s" s="25">
        <v>19</v>
      </c>
      <c r="C18" t="s" s="12">
        <v>38</v>
      </c>
      <c r="D18" t="s" s="13">
        <v>39</v>
      </c>
      <c r="E18" t="s" s="12">
        <v>40</v>
      </c>
      <c r="F18" t="s" s="32">
        <v>42</v>
      </c>
      <c r="G18" s="24"/>
      <c r="H18" s="2"/>
      <c r="I18" s="2"/>
    </row>
    <row r="19" ht="16" customHeight="1">
      <c r="A19" s="19"/>
      <c r="B19" t="s" s="25">
        <v>19</v>
      </c>
      <c r="C19" t="s" s="12">
        <v>38</v>
      </c>
      <c r="D19" t="s" s="13">
        <v>39</v>
      </c>
      <c r="E19" t="s" s="12">
        <v>40</v>
      </c>
      <c r="F19" t="s" s="32">
        <v>43</v>
      </c>
      <c r="G19" s="24"/>
      <c r="H19" s="2"/>
      <c r="I19" s="2"/>
    </row>
    <row r="20" ht="16" customHeight="1">
      <c r="A20" s="19"/>
      <c r="B20" t="s" s="25">
        <v>19</v>
      </c>
      <c r="C20" t="s" s="12">
        <v>38</v>
      </c>
      <c r="D20" t="s" s="13">
        <v>39</v>
      </c>
      <c r="E20" t="s" s="12">
        <v>40</v>
      </c>
      <c r="F20" t="s" s="32">
        <v>44</v>
      </c>
      <c r="G20" s="24"/>
      <c r="H20" s="2"/>
      <c r="I20" s="2"/>
    </row>
    <row r="21" ht="16" customHeight="1">
      <c r="A21" s="19"/>
      <c r="B21" t="s" s="27">
        <v>19</v>
      </c>
      <c r="C21" t="s" s="28">
        <v>38</v>
      </c>
      <c r="D21" t="s" s="29">
        <v>39</v>
      </c>
      <c r="E21" t="s" s="28">
        <v>40</v>
      </c>
      <c r="F21" t="s" s="33">
        <v>45</v>
      </c>
      <c r="G21" s="24"/>
      <c r="H21" s="2"/>
      <c r="I21" s="2"/>
    </row>
    <row r="22" ht="16" customHeight="1">
      <c r="A22" s="19"/>
      <c r="B22" t="s" s="20">
        <v>19</v>
      </c>
      <c r="C22" t="s" s="21">
        <v>46</v>
      </c>
      <c r="D22" t="s" s="22">
        <v>47</v>
      </c>
      <c r="E22" t="s" s="21">
        <v>48</v>
      </c>
      <c r="F22" t="s" s="23">
        <v>49</v>
      </c>
      <c r="G22" s="24"/>
      <c r="H22" s="2"/>
      <c r="I22" s="2"/>
    </row>
    <row r="23" ht="16" customHeight="1">
      <c r="A23" s="19"/>
      <c r="B23" t="s" s="27">
        <v>19</v>
      </c>
      <c r="C23" t="s" s="28">
        <v>46</v>
      </c>
      <c r="D23" t="s" s="29">
        <v>47</v>
      </c>
      <c r="E23" t="s" s="28">
        <v>48</v>
      </c>
      <c r="F23" t="s" s="30">
        <v>50</v>
      </c>
      <c r="G23" s="24"/>
      <c r="H23" s="2"/>
      <c r="I23" s="2"/>
    </row>
    <row r="24" ht="16" customHeight="1">
      <c r="A24" s="19"/>
      <c r="B24" t="s" s="20">
        <v>19</v>
      </c>
      <c r="C24" t="s" s="21">
        <v>51</v>
      </c>
      <c r="D24" t="s" s="22">
        <v>52</v>
      </c>
      <c r="E24" t="s" s="21">
        <v>53</v>
      </c>
      <c r="F24" t="s" s="31">
        <v>54</v>
      </c>
      <c r="G24" s="24"/>
      <c r="H24" s="2"/>
      <c r="I24" s="2"/>
    </row>
    <row r="25" ht="16" customHeight="1">
      <c r="A25" s="19"/>
      <c r="B25" t="s" s="25">
        <v>19</v>
      </c>
      <c r="C25" t="s" s="12">
        <v>51</v>
      </c>
      <c r="D25" t="s" s="13">
        <v>52</v>
      </c>
      <c r="E25" t="s" s="12">
        <v>53</v>
      </c>
      <c r="F25" t="s" s="32">
        <v>55</v>
      </c>
      <c r="G25" s="24"/>
      <c r="H25" s="2"/>
      <c r="I25" s="2"/>
    </row>
    <row r="26" ht="16" customHeight="1">
      <c r="A26" s="19"/>
      <c r="B26" t="s" s="25">
        <v>19</v>
      </c>
      <c r="C26" t="s" s="12">
        <v>51</v>
      </c>
      <c r="D26" t="s" s="13">
        <v>52</v>
      </c>
      <c r="E26" t="s" s="12">
        <v>53</v>
      </c>
      <c r="F26" t="s" s="32">
        <v>56</v>
      </c>
      <c r="G26" s="24"/>
      <c r="H26" s="2"/>
      <c r="I26" s="2"/>
    </row>
    <row r="27" ht="16" customHeight="1">
      <c r="A27" s="19"/>
      <c r="B27" t="s" s="25">
        <v>19</v>
      </c>
      <c r="C27" t="s" s="12">
        <v>51</v>
      </c>
      <c r="D27" t="s" s="13">
        <v>52</v>
      </c>
      <c r="E27" t="s" s="12">
        <v>53</v>
      </c>
      <c r="F27" t="s" s="32">
        <v>57</v>
      </c>
      <c r="G27" s="24"/>
      <c r="H27" s="2"/>
      <c r="I27" s="2"/>
    </row>
    <row r="28" ht="16" customHeight="1">
      <c r="A28" s="19"/>
      <c r="B28" t="s" s="27">
        <v>19</v>
      </c>
      <c r="C28" t="s" s="28">
        <v>51</v>
      </c>
      <c r="D28" t="s" s="29">
        <v>52</v>
      </c>
      <c r="E28" t="s" s="28">
        <v>53</v>
      </c>
      <c r="F28" t="s" s="33">
        <v>58</v>
      </c>
      <c r="G28" s="24"/>
      <c r="H28" s="2"/>
      <c r="I28" s="2"/>
    </row>
    <row r="29" ht="16" customHeight="1">
      <c r="A29" s="19"/>
      <c r="B29" t="s" s="20">
        <v>19</v>
      </c>
      <c r="C29" t="s" s="21">
        <v>59</v>
      </c>
      <c r="D29" t="s" s="22">
        <v>60</v>
      </c>
      <c r="E29" t="s" s="21">
        <v>61</v>
      </c>
      <c r="F29" t="s" s="23">
        <v>62</v>
      </c>
      <c r="G29" s="24"/>
      <c r="H29" s="2"/>
      <c r="I29" s="2"/>
    </row>
    <row r="30" ht="16" customHeight="1">
      <c r="A30" s="19"/>
      <c r="B30" t="s" s="25">
        <v>19</v>
      </c>
      <c r="C30" t="s" s="12">
        <v>59</v>
      </c>
      <c r="D30" t="s" s="13">
        <v>60</v>
      </c>
      <c r="E30" t="s" s="12">
        <v>61</v>
      </c>
      <c r="F30" t="s" s="26">
        <v>63</v>
      </c>
      <c r="G30" s="24"/>
      <c r="H30" s="2"/>
      <c r="I30" s="2"/>
    </row>
    <row r="31" ht="16" customHeight="1">
      <c r="A31" s="19"/>
      <c r="B31" t="s" s="27">
        <v>19</v>
      </c>
      <c r="C31" t="s" s="28">
        <v>59</v>
      </c>
      <c r="D31" t="s" s="29">
        <v>60</v>
      </c>
      <c r="E31" t="s" s="28">
        <v>61</v>
      </c>
      <c r="F31" t="s" s="30">
        <v>64</v>
      </c>
      <c r="G31" s="24"/>
      <c r="H31" s="2"/>
      <c r="I31" s="2"/>
    </row>
  </sheetData>
  <dataValidations count="6">
    <dataValidation type="list" allowBlank="1" showInputMessage="1" showErrorMessage="1" sqref="B4">
      <formula1>"Therputics,Vaccines"</formula1>
    </dataValidation>
    <dataValidation type="list" allowBlank="1" showInputMessage="1" showErrorMessage="1" sqref="D4">
      <formula1>"원료의약품 (DS),완제의약품 (DP)"</formula1>
    </dataValidation>
    <dataValidation type="list" allowBlank="1" showInputMessage="1" showErrorMessage="1" sqref="E4">
      <formula1>"전용 시설,다품목 시설"</formula1>
    </dataValidation>
    <dataValidation type="list" allowBlank="1" showInputMessage="1" showErrorMessage="1" sqref="F4">
      <formula1>"Multi-use,Single-use"</formula1>
    </dataValidation>
    <dataValidation type="list" allowBlank="1" showInputMessage="1" showErrorMessage="1" sqref="G4:H4">
      <formula1>"FDA,EMA,WHO,PMDA,NMPA,MHRA,MFDS"</formula1>
    </dataValidation>
    <dataValidation type="list" allowBlank="1" showInputMessage="1" showErrorMessage="1" sqref="B8:B31">
      <formula1>"주공정 구역,보조 구역,NC 구역"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49"/>
  <sheetViews>
    <sheetView workbookViewId="0" showGridLines="0" defaultGridColor="1"/>
  </sheetViews>
  <sheetFormatPr defaultColWidth="14" defaultRowHeight="14.5" customHeight="1" outlineLevelRow="0" outlineLevelCol="0"/>
  <cols>
    <col min="1" max="1" width="2.5" style="34" customWidth="1"/>
    <col min="2" max="2" width="10" style="34" customWidth="1"/>
    <col min="3" max="3" width="18.8516" style="34" customWidth="1"/>
    <col min="4" max="4" width="21" style="34" customWidth="1"/>
    <col min="5" max="5" width="10.3516" style="34" customWidth="1"/>
    <col min="6" max="6" width="11.1719" style="34" customWidth="1"/>
    <col min="7" max="7" width="12.5" style="34" customWidth="1"/>
    <col min="8" max="8" width="10.3516" style="34" customWidth="1"/>
    <col min="9" max="9" width="54.6719" style="34" customWidth="1"/>
    <col min="10" max="10" width="10.8516" style="34" customWidth="1"/>
    <col min="11" max="16384" width="14" style="34" customWidth="1"/>
  </cols>
  <sheetData>
    <row r="1" ht="16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7.5" customHeight="1">
      <c r="A2" s="2"/>
      <c r="B2" t="s" s="5">
        <v>65</v>
      </c>
      <c r="C2" s="6"/>
      <c r="D2" s="6"/>
      <c r="E2" s="6"/>
      <c r="F2" s="6"/>
      <c r="G2" s="6"/>
      <c r="H2" s="2"/>
      <c r="I2" s="2"/>
      <c r="J2" s="2"/>
    </row>
    <row r="3" ht="16" customHeight="1">
      <c r="A3" s="8"/>
      <c r="B3" t="s" s="9">
        <v>66</v>
      </c>
      <c r="C3" t="s" s="9">
        <v>67</v>
      </c>
      <c r="D3" t="s" s="9">
        <v>68</v>
      </c>
      <c r="E3" t="s" s="9">
        <v>69</v>
      </c>
      <c r="F3" t="s" s="9">
        <v>70</v>
      </c>
      <c r="G3" t="s" s="9">
        <v>71</v>
      </c>
      <c r="H3" s="11"/>
      <c r="I3" s="3"/>
      <c r="J3" s="2"/>
    </row>
    <row r="4" ht="16" customHeight="1">
      <c r="A4" s="8"/>
      <c r="B4" s="35">
        <v>1</v>
      </c>
      <c r="C4" s="35">
        <v>18</v>
      </c>
      <c r="D4" t="s" s="13">
        <v>72</v>
      </c>
      <c r="E4" t="s" s="13">
        <v>73</v>
      </c>
      <c r="F4" t="s" s="13">
        <v>74</v>
      </c>
      <c r="G4" t="s" s="13">
        <v>75</v>
      </c>
      <c r="H4" s="14"/>
      <c r="I4" s="3"/>
      <c r="J4" s="2"/>
    </row>
    <row r="5" ht="16" customHeight="1">
      <c r="A5" s="2"/>
      <c r="B5" s="15"/>
      <c r="C5" s="15"/>
      <c r="D5" s="16"/>
      <c r="E5" s="16"/>
      <c r="F5" s="16"/>
      <c r="G5" s="16"/>
      <c r="H5" s="4"/>
      <c r="I5" s="2"/>
      <c r="J5" s="2"/>
    </row>
    <row r="6" ht="17.5" customHeight="1">
      <c r="A6" s="2"/>
      <c r="B6" t="s" s="5">
        <v>76</v>
      </c>
      <c r="C6" s="6"/>
      <c r="D6" s="6"/>
      <c r="E6" s="6"/>
      <c r="F6" s="6"/>
      <c r="G6" s="6"/>
      <c r="H6" s="6"/>
      <c r="I6" s="6"/>
      <c r="J6" s="6"/>
    </row>
    <row r="7" ht="29" customHeight="1">
      <c r="A7" s="8"/>
      <c r="B7" t="s" s="9">
        <v>14</v>
      </c>
      <c r="C7" t="s" s="9">
        <v>15</v>
      </c>
      <c r="D7" t="s" s="9">
        <v>16</v>
      </c>
      <c r="E7" t="s" s="9">
        <v>77</v>
      </c>
      <c r="F7" t="s" s="36">
        <v>78</v>
      </c>
      <c r="G7" t="s" s="36">
        <v>79</v>
      </c>
      <c r="H7" t="s" s="36">
        <v>80</v>
      </c>
      <c r="I7" t="s" s="9">
        <v>18</v>
      </c>
      <c r="J7" t="s" s="37">
        <v>81</v>
      </c>
    </row>
    <row r="8" ht="16" customHeight="1">
      <c r="A8" s="8"/>
      <c r="B8" t="s" s="12">
        <v>19</v>
      </c>
      <c r="C8" t="s" s="12">
        <v>82</v>
      </c>
      <c r="D8" t="s" s="13">
        <v>27</v>
      </c>
      <c r="E8" t="s" s="13">
        <v>83</v>
      </c>
      <c r="F8" s="38">
        <v>30</v>
      </c>
      <c r="G8" t="s" s="13">
        <v>84</v>
      </c>
      <c r="H8" t="s" s="13">
        <v>85</v>
      </c>
      <c r="I8" t="s" s="12">
        <v>86</v>
      </c>
      <c r="J8" s="39">
        <v>12</v>
      </c>
    </row>
    <row r="9" ht="16" customHeight="1">
      <c r="A9" s="8"/>
      <c r="B9" t="s" s="12">
        <v>19</v>
      </c>
      <c r="C9" t="s" s="12">
        <v>32</v>
      </c>
      <c r="D9" t="s" s="13">
        <v>33</v>
      </c>
      <c r="E9" t="s" s="13">
        <v>83</v>
      </c>
      <c r="F9" s="38">
        <v>30</v>
      </c>
      <c r="G9" t="s" s="13">
        <v>87</v>
      </c>
      <c r="H9" t="s" s="13">
        <v>85</v>
      </c>
      <c r="I9" t="s" s="12">
        <v>88</v>
      </c>
      <c r="J9" s="39">
        <v>4</v>
      </c>
    </row>
    <row r="10" ht="16" customHeight="1">
      <c r="A10" s="8"/>
      <c r="B10" t="s" s="12">
        <v>19</v>
      </c>
      <c r="C10" t="s" s="12">
        <v>89</v>
      </c>
      <c r="D10" t="s" s="13">
        <v>90</v>
      </c>
      <c r="E10" t="s" s="13">
        <v>91</v>
      </c>
      <c r="F10" s="38">
        <v>30</v>
      </c>
      <c r="G10" t="s" s="13">
        <v>87</v>
      </c>
      <c r="H10" t="s" s="13">
        <v>85</v>
      </c>
      <c r="I10" s="40"/>
      <c r="J10" s="39">
        <v>0.5</v>
      </c>
    </row>
    <row r="11" ht="16" customHeight="1">
      <c r="A11" s="8"/>
      <c r="B11" t="s" s="12">
        <v>19</v>
      </c>
      <c r="C11" t="s" s="12">
        <v>92</v>
      </c>
      <c r="D11" t="s" s="13">
        <v>93</v>
      </c>
      <c r="E11" t="s" s="13">
        <v>91</v>
      </c>
      <c r="F11" s="38">
        <v>30</v>
      </c>
      <c r="G11" t="s" s="13">
        <v>87</v>
      </c>
      <c r="H11" t="s" s="13">
        <v>85</v>
      </c>
      <c r="I11" s="40"/>
      <c r="J11" s="39">
        <v>0.5</v>
      </c>
    </row>
    <row r="12" ht="16" customHeight="1">
      <c r="A12" s="8"/>
      <c r="B12" t="s" s="12">
        <v>19</v>
      </c>
      <c r="C12" t="s" s="12">
        <v>38</v>
      </c>
      <c r="D12" t="s" s="13">
        <v>39</v>
      </c>
      <c r="E12" t="s" s="13">
        <v>91</v>
      </c>
      <c r="F12" s="38">
        <v>30</v>
      </c>
      <c r="G12" t="s" s="13">
        <v>87</v>
      </c>
      <c r="H12" t="s" s="13">
        <v>85</v>
      </c>
      <c r="I12" t="s" s="41">
        <v>94</v>
      </c>
      <c r="J12" s="39">
        <v>10</v>
      </c>
    </row>
    <row r="13" ht="16" customHeight="1">
      <c r="A13" s="8"/>
      <c r="B13" t="s" s="12">
        <v>19</v>
      </c>
      <c r="C13" t="s" s="12">
        <v>95</v>
      </c>
      <c r="D13" t="s" s="13">
        <v>96</v>
      </c>
      <c r="E13" t="s" s="13">
        <v>91</v>
      </c>
      <c r="F13" s="38">
        <v>30</v>
      </c>
      <c r="G13" t="s" s="13">
        <v>87</v>
      </c>
      <c r="H13" t="s" s="13">
        <v>85</v>
      </c>
      <c r="I13" s="40"/>
      <c r="J13" s="39">
        <v>0.5</v>
      </c>
    </row>
    <row r="14" ht="16" customHeight="1">
      <c r="A14" s="8"/>
      <c r="B14" t="s" s="12">
        <v>19</v>
      </c>
      <c r="C14" t="s" s="12">
        <v>97</v>
      </c>
      <c r="D14" t="s" s="13">
        <v>98</v>
      </c>
      <c r="E14" t="s" s="13">
        <v>91</v>
      </c>
      <c r="F14" s="38">
        <v>30</v>
      </c>
      <c r="G14" t="s" s="13">
        <v>87</v>
      </c>
      <c r="H14" t="s" s="13">
        <v>85</v>
      </c>
      <c r="I14" s="40"/>
      <c r="J14" s="39">
        <v>0.5</v>
      </c>
    </row>
    <row r="15" ht="16" customHeight="1">
      <c r="A15" s="8"/>
      <c r="B15" t="s" s="12">
        <v>19</v>
      </c>
      <c r="C15" t="s" s="12">
        <v>99</v>
      </c>
      <c r="D15" t="s" s="13">
        <v>100</v>
      </c>
      <c r="E15" t="s" s="13">
        <v>91</v>
      </c>
      <c r="F15" s="38">
        <v>30</v>
      </c>
      <c r="G15" t="s" s="13">
        <v>87</v>
      </c>
      <c r="H15" t="s" s="13">
        <v>85</v>
      </c>
      <c r="I15" s="40"/>
      <c r="J15" s="39">
        <v>0.5</v>
      </c>
    </row>
    <row r="16" ht="16" customHeight="1">
      <c r="A16" s="8"/>
      <c r="B16" t="s" s="12">
        <v>19</v>
      </c>
      <c r="C16" t="s" s="12">
        <v>101</v>
      </c>
      <c r="D16" t="s" s="13">
        <v>102</v>
      </c>
      <c r="E16" t="s" s="13">
        <v>103</v>
      </c>
      <c r="F16" s="38">
        <v>30</v>
      </c>
      <c r="G16" t="s" s="13">
        <v>87</v>
      </c>
      <c r="H16" t="s" s="13">
        <v>85</v>
      </c>
      <c r="I16" s="40"/>
      <c r="J16" s="39">
        <v>0.5</v>
      </c>
    </row>
    <row r="17" ht="16" customHeight="1">
      <c r="A17" s="8"/>
      <c r="B17" t="s" s="12">
        <v>19</v>
      </c>
      <c r="C17" t="s" s="12">
        <v>46</v>
      </c>
      <c r="D17" t="s" s="13">
        <v>47</v>
      </c>
      <c r="E17" t="s" s="13">
        <v>91</v>
      </c>
      <c r="F17" s="38">
        <v>30</v>
      </c>
      <c r="G17" t="s" s="13">
        <v>87</v>
      </c>
      <c r="H17" t="s" s="13">
        <v>85</v>
      </c>
      <c r="I17" t="s" s="12">
        <v>104</v>
      </c>
      <c r="J17" s="39">
        <v>5</v>
      </c>
    </row>
    <row r="18" ht="16" customHeight="1">
      <c r="A18" s="8"/>
      <c r="B18" t="s" s="12">
        <v>19</v>
      </c>
      <c r="C18" t="s" s="12">
        <v>105</v>
      </c>
      <c r="D18" t="s" s="13">
        <v>106</v>
      </c>
      <c r="E18" t="s" s="13">
        <v>91</v>
      </c>
      <c r="F18" s="38">
        <v>30</v>
      </c>
      <c r="G18" t="s" s="13">
        <v>87</v>
      </c>
      <c r="H18" t="s" s="13">
        <v>85</v>
      </c>
      <c r="I18" s="40"/>
      <c r="J18" s="39">
        <v>0.5</v>
      </c>
    </row>
    <row r="19" ht="16" customHeight="1">
      <c r="A19" s="8"/>
      <c r="B19" t="s" s="12">
        <v>19</v>
      </c>
      <c r="C19" t="s" s="12">
        <v>107</v>
      </c>
      <c r="D19" t="s" s="13">
        <v>108</v>
      </c>
      <c r="E19" t="s" s="13">
        <v>91</v>
      </c>
      <c r="F19" s="38">
        <v>30</v>
      </c>
      <c r="G19" t="s" s="13">
        <v>87</v>
      </c>
      <c r="H19" t="s" s="13">
        <v>85</v>
      </c>
      <c r="I19" s="40"/>
      <c r="J19" s="39">
        <v>0.5</v>
      </c>
    </row>
    <row r="20" ht="16" customHeight="1">
      <c r="A20" s="8"/>
      <c r="B20" t="s" s="12">
        <v>19</v>
      </c>
      <c r="C20" t="s" s="12">
        <v>109</v>
      </c>
      <c r="D20" t="s" s="13">
        <v>110</v>
      </c>
      <c r="E20" t="s" s="13">
        <v>91</v>
      </c>
      <c r="F20" s="38">
        <v>30</v>
      </c>
      <c r="G20" t="s" s="13">
        <v>87</v>
      </c>
      <c r="H20" t="s" s="13">
        <v>85</v>
      </c>
      <c r="I20" s="40"/>
      <c r="J20" s="39">
        <v>0.5</v>
      </c>
    </row>
    <row r="21" ht="16" customHeight="1">
      <c r="A21" s="8"/>
      <c r="B21" t="s" s="12">
        <v>19</v>
      </c>
      <c r="C21" t="s" s="12">
        <v>111</v>
      </c>
      <c r="D21" t="s" s="13">
        <v>112</v>
      </c>
      <c r="E21" t="s" s="13">
        <v>91</v>
      </c>
      <c r="F21" s="38">
        <v>30</v>
      </c>
      <c r="G21" t="s" s="13">
        <v>87</v>
      </c>
      <c r="H21" t="s" s="13">
        <v>85</v>
      </c>
      <c r="I21" s="40"/>
      <c r="J21" s="39">
        <v>0.5</v>
      </c>
    </row>
    <row r="22" ht="29" customHeight="1">
      <c r="A22" s="8"/>
      <c r="B22" t="s" s="12">
        <v>19</v>
      </c>
      <c r="C22" t="s" s="12">
        <v>51</v>
      </c>
      <c r="D22" t="s" s="13">
        <v>52</v>
      </c>
      <c r="E22" t="s" s="13">
        <v>91</v>
      </c>
      <c r="F22" s="38">
        <v>30</v>
      </c>
      <c r="G22" t="s" s="13">
        <v>87</v>
      </c>
      <c r="H22" t="s" s="13">
        <v>85</v>
      </c>
      <c r="I22" t="s" s="41">
        <v>113</v>
      </c>
      <c r="J22" s="39">
        <v>13</v>
      </c>
    </row>
    <row r="23" ht="16" customHeight="1">
      <c r="A23" s="8"/>
      <c r="B23" t="s" s="12">
        <v>19</v>
      </c>
      <c r="C23" t="s" s="12">
        <v>114</v>
      </c>
      <c r="D23" t="s" s="13">
        <v>115</v>
      </c>
      <c r="E23" t="s" s="13">
        <v>91</v>
      </c>
      <c r="F23" s="38">
        <v>30</v>
      </c>
      <c r="G23" t="s" s="13">
        <v>87</v>
      </c>
      <c r="H23" t="s" s="13">
        <v>85</v>
      </c>
      <c r="I23" s="40"/>
      <c r="J23" s="39">
        <v>0.5</v>
      </c>
    </row>
    <row r="24" ht="16" customHeight="1">
      <c r="A24" s="8"/>
      <c r="B24" t="s" s="12">
        <v>19</v>
      </c>
      <c r="C24" t="s" s="12">
        <v>116</v>
      </c>
      <c r="D24" t="s" s="13">
        <v>117</v>
      </c>
      <c r="E24" t="s" s="13">
        <v>83</v>
      </c>
      <c r="F24" s="38">
        <v>30</v>
      </c>
      <c r="G24" t="s" s="13">
        <v>87</v>
      </c>
      <c r="H24" t="s" s="13">
        <v>85</v>
      </c>
      <c r="I24" s="40"/>
      <c r="J24" s="39">
        <v>0.5</v>
      </c>
    </row>
    <row r="25" ht="16" customHeight="1">
      <c r="A25" s="8"/>
      <c r="B25" t="s" s="12">
        <v>19</v>
      </c>
      <c r="C25" t="s" s="12">
        <v>118</v>
      </c>
      <c r="D25" t="s" s="13">
        <v>119</v>
      </c>
      <c r="E25" t="s" s="13">
        <v>91</v>
      </c>
      <c r="F25" s="38">
        <v>30</v>
      </c>
      <c r="G25" t="s" s="13">
        <v>87</v>
      </c>
      <c r="H25" t="s" s="13">
        <v>85</v>
      </c>
      <c r="I25" s="40"/>
      <c r="J25" s="39">
        <v>0.5</v>
      </c>
    </row>
    <row r="26" ht="16" customHeight="1">
      <c r="A26" s="8"/>
      <c r="B26" t="s" s="12">
        <v>19</v>
      </c>
      <c r="C26" t="s" s="12">
        <v>120</v>
      </c>
      <c r="D26" t="s" s="13">
        <v>121</v>
      </c>
      <c r="E26" t="s" s="13">
        <v>91</v>
      </c>
      <c r="F26" s="38">
        <v>30</v>
      </c>
      <c r="G26" t="s" s="13">
        <v>87</v>
      </c>
      <c r="H26" t="s" s="13">
        <v>85</v>
      </c>
      <c r="I26" s="40"/>
      <c r="J26" s="39">
        <v>0.5</v>
      </c>
    </row>
    <row r="27" ht="16" customHeight="1">
      <c r="A27" s="8"/>
      <c r="B27" t="s" s="12">
        <v>19</v>
      </c>
      <c r="C27" t="s" s="12">
        <v>59</v>
      </c>
      <c r="D27" t="s" s="13">
        <v>60</v>
      </c>
      <c r="E27" t="s" s="13">
        <v>91</v>
      </c>
      <c r="F27" s="38">
        <v>30</v>
      </c>
      <c r="G27" t="s" s="13">
        <v>87</v>
      </c>
      <c r="H27" t="s" s="13">
        <v>85</v>
      </c>
      <c r="I27" t="s" s="12">
        <v>122</v>
      </c>
      <c r="J27" s="39">
        <v>5</v>
      </c>
    </row>
    <row r="28" ht="16" customHeight="1">
      <c r="A28" s="8"/>
      <c r="B28" t="s" s="12">
        <v>19</v>
      </c>
      <c r="C28" t="s" s="12">
        <v>123</v>
      </c>
      <c r="D28" t="s" s="13">
        <v>124</v>
      </c>
      <c r="E28" t="s" s="13">
        <v>91</v>
      </c>
      <c r="F28" s="38">
        <v>30</v>
      </c>
      <c r="G28" t="s" s="13">
        <v>87</v>
      </c>
      <c r="H28" t="s" s="13">
        <v>85</v>
      </c>
      <c r="I28" s="40"/>
      <c r="J28" s="39">
        <v>0.5</v>
      </c>
    </row>
    <row r="29" ht="16" customHeight="1">
      <c r="A29" s="8"/>
      <c r="B29" t="s" s="12">
        <v>19</v>
      </c>
      <c r="C29" t="s" s="12">
        <v>125</v>
      </c>
      <c r="D29" t="s" s="13">
        <v>126</v>
      </c>
      <c r="E29" t="s" s="13">
        <v>83</v>
      </c>
      <c r="F29" s="38">
        <v>30</v>
      </c>
      <c r="G29" t="s" s="13">
        <v>87</v>
      </c>
      <c r="H29" t="s" s="13">
        <v>85</v>
      </c>
      <c r="I29" s="40"/>
      <c r="J29" s="39">
        <v>0.5</v>
      </c>
    </row>
    <row r="30" ht="16" customHeight="1">
      <c r="A30" s="8"/>
      <c r="B30" t="s" s="12">
        <v>19</v>
      </c>
      <c r="C30" t="s" s="12">
        <v>127</v>
      </c>
      <c r="D30" t="s" s="13">
        <v>128</v>
      </c>
      <c r="E30" t="s" s="13">
        <v>91</v>
      </c>
      <c r="F30" s="38">
        <v>30</v>
      </c>
      <c r="G30" t="s" s="13">
        <v>84</v>
      </c>
      <c r="H30" t="s" s="13">
        <v>85</v>
      </c>
      <c r="I30" s="40"/>
      <c r="J30" s="39">
        <v>2.5</v>
      </c>
    </row>
    <row r="31" ht="16" customHeight="1">
      <c r="A31" s="8"/>
      <c r="B31" t="s" s="12">
        <v>19</v>
      </c>
      <c r="C31" t="s" s="12">
        <v>129</v>
      </c>
      <c r="D31" t="s" s="13">
        <v>130</v>
      </c>
      <c r="E31" t="s" s="13">
        <v>91</v>
      </c>
      <c r="F31" s="38">
        <v>30</v>
      </c>
      <c r="G31" t="s" s="13">
        <v>84</v>
      </c>
      <c r="H31" t="s" s="13">
        <v>85</v>
      </c>
      <c r="I31" s="40"/>
      <c r="J31" s="39">
        <v>1</v>
      </c>
    </row>
    <row r="32" ht="16" customHeight="1">
      <c r="A32" s="8"/>
      <c r="B32" t="s" s="12">
        <v>19</v>
      </c>
      <c r="C32" t="s" s="12">
        <v>131</v>
      </c>
      <c r="D32" t="s" s="13">
        <v>132</v>
      </c>
      <c r="E32" t="s" s="13">
        <v>91</v>
      </c>
      <c r="F32" s="38">
        <v>30</v>
      </c>
      <c r="G32" t="s" s="13">
        <v>84</v>
      </c>
      <c r="H32" t="s" s="13">
        <v>85</v>
      </c>
      <c r="I32" s="40"/>
      <c r="J32" s="39">
        <v>5</v>
      </c>
    </row>
    <row r="33" ht="16" customHeight="1">
      <c r="A33" s="8"/>
      <c r="B33" t="s" s="12">
        <v>19</v>
      </c>
      <c r="C33" t="s" s="12">
        <v>133</v>
      </c>
      <c r="D33" t="s" s="13">
        <v>134</v>
      </c>
      <c r="E33" t="s" s="13">
        <v>103</v>
      </c>
      <c r="F33" s="38">
        <v>20</v>
      </c>
      <c r="G33" t="s" s="13">
        <v>84</v>
      </c>
      <c r="H33" t="s" s="13">
        <v>135</v>
      </c>
      <c r="I33" s="40"/>
      <c r="J33" s="39">
        <v>7</v>
      </c>
    </row>
    <row r="34" ht="16" customHeight="1">
      <c r="A34" s="8"/>
      <c r="B34" t="s" s="12">
        <v>19</v>
      </c>
      <c r="C34" t="s" s="12">
        <v>136</v>
      </c>
      <c r="D34" t="s" s="13">
        <v>137</v>
      </c>
      <c r="E34" t="s" s="13">
        <v>103</v>
      </c>
      <c r="F34" s="38">
        <v>20</v>
      </c>
      <c r="G34" t="s" s="13">
        <v>84</v>
      </c>
      <c r="H34" t="s" s="13">
        <v>135</v>
      </c>
      <c r="I34" s="40"/>
      <c r="J34" s="39">
        <v>1.5</v>
      </c>
    </row>
    <row r="35" ht="16" customHeight="1">
      <c r="A35" s="8"/>
      <c r="B35" t="s" s="12">
        <v>138</v>
      </c>
      <c r="C35" t="s" s="12">
        <v>139</v>
      </c>
      <c r="D35" t="s" s="13">
        <v>140</v>
      </c>
      <c r="E35" t="s" s="13">
        <v>103</v>
      </c>
      <c r="F35" s="38">
        <v>20</v>
      </c>
      <c r="G35" t="s" s="13">
        <v>84</v>
      </c>
      <c r="H35" t="s" s="13">
        <v>135</v>
      </c>
      <c r="I35" s="40"/>
      <c r="J35" s="39">
        <v>3</v>
      </c>
    </row>
    <row r="36" ht="16" customHeight="1">
      <c r="A36" s="8"/>
      <c r="B36" t="s" s="12">
        <v>138</v>
      </c>
      <c r="C36" t="s" s="12">
        <v>141</v>
      </c>
      <c r="D36" t="s" s="13">
        <v>142</v>
      </c>
      <c r="E36" t="s" s="13">
        <v>103</v>
      </c>
      <c r="F36" s="38">
        <v>20</v>
      </c>
      <c r="G36" t="s" s="13">
        <v>84</v>
      </c>
      <c r="H36" t="s" s="13">
        <v>135</v>
      </c>
      <c r="I36" s="40"/>
      <c r="J36" s="39">
        <v>1.5</v>
      </c>
    </row>
    <row r="37" ht="16" customHeight="1">
      <c r="A37" s="8"/>
      <c r="B37" t="s" s="12">
        <v>138</v>
      </c>
      <c r="C37" t="s" s="12">
        <v>143</v>
      </c>
      <c r="D37" t="s" s="13">
        <v>144</v>
      </c>
      <c r="E37" t="s" s="13">
        <v>103</v>
      </c>
      <c r="F37" s="38">
        <v>20</v>
      </c>
      <c r="G37" t="s" s="13">
        <v>84</v>
      </c>
      <c r="H37" t="s" s="13">
        <v>135</v>
      </c>
      <c r="I37" s="40"/>
      <c r="J37" s="39">
        <v>5</v>
      </c>
    </row>
    <row r="38" ht="16" customHeight="1">
      <c r="A38" s="8"/>
      <c r="B38" t="s" s="12">
        <v>138</v>
      </c>
      <c r="C38" t="s" s="12">
        <v>145</v>
      </c>
      <c r="D38" t="s" s="13">
        <v>146</v>
      </c>
      <c r="E38" t="s" s="13">
        <v>147</v>
      </c>
      <c r="F38" s="38">
        <v>10</v>
      </c>
      <c r="G38" t="s" s="13">
        <v>84</v>
      </c>
      <c r="H38" t="s" s="13">
        <v>135</v>
      </c>
      <c r="I38" s="40"/>
      <c r="J38" s="39">
        <v>0.5</v>
      </c>
    </row>
    <row r="39" ht="16" customHeight="1">
      <c r="A39" s="8"/>
      <c r="B39" t="s" s="12">
        <v>138</v>
      </c>
      <c r="C39" t="s" s="12">
        <v>148</v>
      </c>
      <c r="D39" t="s" s="13">
        <v>149</v>
      </c>
      <c r="E39" t="s" s="13">
        <v>147</v>
      </c>
      <c r="F39" s="38">
        <v>10</v>
      </c>
      <c r="G39" t="s" s="13">
        <v>84</v>
      </c>
      <c r="H39" t="s" s="13">
        <v>135</v>
      </c>
      <c r="I39" s="40"/>
      <c r="J39" s="39">
        <v>0.5</v>
      </c>
    </row>
    <row r="40" ht="16" customHeight="1">
      <c r="A40" s="8"/>
      <c r="B40" t="s" s="12">
        <v>138</v>
      </c>
      <c r="C40" t="s" s="12">
        <v>150</v>
      </c>
      <c r="D40" t="s" s="13">
        <v>151</v>
      </c>
      <c r="E40" t="s" s="13">
        <v>147</v>
      </c>
      <c r="F40" s="38">
        <v>10</v>
      </c>
      <c r="G40" t="s" s="13">
        <v>84</v>
      </c>
      <c r="H40" t="s" s="13">
        <v>135</v>
      </c>
      <c r="I40" s="40"/>
      <c r="J40" s="39">
        <v>1</v>
      </c>
    </row>
    <row r="41" ht="16" customHeight="1">
      <c r="A41" s="8"/>
      <c r="B41" t="s" s="12">
        <v>138</v>
      </c>
      <c r="C41" t="s" s="12">
        <v>152</v>
      </c>
      <c r="D41" t="s" s="13">
        <v>153</v>
      </c>
      <c r="E41" t="s" s="13">
        <v>147</v>
      </c>
      <c r="F41" s="38">
        <v>10</v>
      </c>
      <c r="G41" t="s" s="13">
        <v>84</v>
      </c>
      <c r="H41" t="s" s="13">
        <v>135</v>
      </c>
      <c r="I41" s="40"/>
      <c r="J41" s="39">
        <v>1</v>
      </c>
    </row>
    <row r="42" ht="16" customHeight="1">
      <c r="A42" s="8"/>
      <c r="B42" t="s" s="12">
        <v>138</v>
      </c>
      <c r="C42" t="s" s="12">
        <v>154</v>
      </c>
      <c r="D42" t="s" s="13">
        <v>155</v>
      </c>
      <c r="E42" t="s" s="13">
        <v>156</v>
      </c>
      <c r="F42" t="s" s="13">
        <v>157</v>
      </c>
      <c r="G42" t="s" s="13">
        <v>84</v>
      </c>
      <c r="H42" t="s" s="13">
        <v>158</v>
      </c>
      <c r="I42" s="40"/>
      <c r="J42" s="39">
        <v>2</v>
      </c>
    </row>
    <row r="43" ht="16" customHeight="1">
      <c r="A43" s="8"/>
      <c r="B43" t="s" s="12">
        <v>159</v>
      </c>
      <c r="C43" t="s" s="12">
        <v>160</v>
      </c>
      <c r="D43" t="s" s="13">
        <v>161</v>
      </c>
      <c r="E43" t="s" s="13">
        <v>156</v>
      </c>
      <c r="F43" t="s" s="13">
        <v>157</v>
      </c>
      <c r="G43" t="s" s="13">
        <v>84</v>
      </c>
      <c r="H43" t="s" s="13">
        <v>158</v>
      </c>
      <c r="I43" s="40"/>
      <c r="J43" s="39">
        <v>1</v>
      </c>
    </row>
    <row r="44" ht="16" customHeight="1">
      <c r="A44" s="8"/>
      <c r="B44" t="s" s="12">
        <v>159</v>
      </c>
      <c r="C44" t="s" s="12">
        <v>162</v>
      </c>
      <c r="D44" t="s" s="13">
        <v>163</v>
      </c>
      <c r="E44" t="s" s="13">
        <v>156</v>
      </c>
      <c r="F44" t="s" s="13">
        <v>157</v>
      </c>
      <c r="G44" t="s" s="13">
        <v>84</v>
      </c>
      <c r="H44" t="s" s="13">
        <v>158</v>
      </c>
      <c r="I44" s="40"/>
      <c r="J44" s="39">
        <v>1</v>
      </c>
    </row>
    <row r="45" ht="16" customHeight="1">
      <c r="A45" s="8"/>
      <c r="B45" t="s" s="12">
        <v>159</v>
      </c>
      <c r="C45" t="s" s="12">
        <v>164</v>
      </c>
      <c r="D45" t="s" s="13">
        <v>165</v>
      </c>
      <c r="E45" t="s" s="13">
        <v>156</v>
      </c>
      <c r="F45" t="s" s="13">
        <v>157</v>
      </c>
      <c r="G45" t="s" s="13">
        <v>84</v>
      </c>
      <c r="H45" t="s" s="13">
        <v>158</v>
      </c>
      <c r="I45" s="40"/>
      <c r="J45" s="39">
        <v>1.5</v>
      </c>
    </row>
    <row r="46" ht="16" customHeight="1">
      <c r="A46" s="8"/>
      <c r="B46" t="s" s="12">
        <v>159</v>
      </c>
      <c r="C46" t="s" s="12">
        <v>166</v>
      </c>
      <c r="D46" t="s" s="13">
        <v>167</v>
      </c>
      <c r="E46" t="s" s="13">
        <v>156</v>
      </c>
      <c r="F46" t="s" s="13">
        <v>157</v>
      </c>
      <c r="G46" t="s" s="13">
        <v>84</v>
      </c>
      <c r="H46" t="s" s="13">
        <v>158</v>
      </c>
      <c r="I46" s="40"/>
      <c r="J46" s="39">
        <v>5</v>
      </c>
    </row>
    <row r="47" ht="16" customHeight="1">
      <c r="A47" s="8"/>
      <c r="B47" s="40"/>
      <c r="C47" s="40"/>
      <c r="D47" s="42"/>
      <c r="E47" s="42"/>
      <c r="F47" s="42"/>
      <c r="G47" s="42"/>
      <c r="H47" s="42"/>
      <c r="I47" s="40"/>
      <c r="J47" s="43"/>
    </row>
    <row r="48" ht="16" customHeight="1">
      <c r="A48" s="2"/>
      <c r="B48" s="15"/>
      <c r="C48" s="15"/>
      <c r="D48" s="15"/>
      <c r="E48" s="15"/>
      <c r="F48" s="15"/>
      <c r="G48" s="15"/>
      <c r="H48" s="15"/>
      <c r="I48" s="15"/>
      <c r="J48" s="15"/>
    </row>
    <row r="49" ht="17" customHeight="1">
      <c r="A49" s="2"/>
      <c r="B49" s="2"/>
      <c r="C49" s="2"/>
      <c r="D49" s="2"/>
      <c r="E49" s="2"/>
      <c r="F49" s="2"/>
      <c r="G49" s="2"/>
      <c r="H49" s="2"/>
      <c r="I49" t="s" s="44">
        <v>168</v>
      </c>
      <c r="J49" s="45" cm="1">
        <f t="array" ref="J49">SUM(J8:J47)</f>
        <v>97</v>
      </c>
    </row>
  </sheetData>
  <dataValidations count="5">
    <dataValidation type="list" allowBlank="1" showInputMessage="1" showErrorMessage="1" sqref="B8:B47">
      <formula1>"주공정 구역,보조 구역,NC 구역"</formula1>
    </dataValidation>
    <dataValidation type="list" allowBlank="1" showInputMessage="1" showErrorMessage="1" sqref="E8:E46">
      <formula1>"Grade B,Grade C,Grade D,CNC,NC ,None"</formula1>
    </dataValidation>
    <dataValidation type="list" allowBlank="1" showInputMessage="1" showErrorMessage="1" sqref="G8:G47">
      <formula1>"One-way,Both-way"</formula1>
    </dataValidation>
    <dataValidation type="list" allowBlank="1" showInputMessage="1" showErrorMessage="1" sqref="H8:H41 H47">
      <formula1>"무균복,무진복,스크럽,사복"</formula1>
    </dataValidation>
    <dataValidation type="list" allowBlank="1" showInputMessage="1" showErrorMessage="1" sqref="H42:H46">
      <formula1>"무균복,무진복,스크럽,일상복"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105"/>
  <sheetViews>
    <sheetView workbookViewId="0" showGridLines="0" defaultGridColor="1"/>
  </sheetViews>
  <sheetFormatPr defaultColWidth="8.83333" defaultRowHeight="14.5" customHeight="1" outlineLevelRow="0" outlineLevelCol="0"/>
  <cols>
    <col min="1" max="1" width="2.5" style="46" customWidth="1"/>
    <col min="2" max="2" width="10" style="46" customWidth="1"/>
    <col min="3" max="4" width="14.8516" style="46" customWidth="1"/>
    <col min="5" max="5" width="19.8516" style="46" customWidth="1"/>
    <col min="6" max="6" width="16.1719" style="46" customWidth="1"/>
    <col min="7" max="7" width="8.67188" style="46" customWidth="1"/>
    <col min="8" max="8" width="14.5" style="46" customWidth="1"/>
    <col min="9" max="9" width="53" style="46" customWidth="1"/>
    <col min="10" max="16384" width="8.85156" style="46" customWidth="1"/>
  </cols>
  <sheetData>
    <row r="1" ht="16" customHeight="1">
      <c r="A1" s="2"/>
      <c r="B1" s="2"/>
      <c r="C1" s="2"/>
      <c r="D1" s="4"/>
      <c r="E1" s="2"/>
      <c r="F1" s="2"/>
      <c r="G1" s="2"/>
      <c r="H1" s="2"/>
      <c r="I1" s="2"/>
    </row>
    <row r="2" ht="17.5" customHeight="1">
      <c r="A2" s="2"/>
      <c r="B2" t="s" s="5">
        <v>169</v>
      </c>
      <c r="C2" s="6"/>
      <c r="D2" s="6"/>
      <c r="E2" s="6"/>
      <c r="F2" s="6"/>
      <c r="G2" s="6"/>
      <c r="H2" s="6"/>
      <c r="I2" s="6"/>
    </row>
    <row r="3" ht="16" customHeight="1">
      <c r="A3" s="8"/>
      <c r="B3" t="s" s="9">
        <v>14</v>
      </c>
      <c r="C3" t="s" s="9">
        <v>15</v>
      </c>
      <c r="D3" t="s" s="9">
        <v>16</v>
      </c>
      <c r="E3" t="s" s="9">
        <v>170</v>
      </c>
      <c r="F3" t="s" s="9">
        <v>171</v>
      </c>
      <c r="G3" t="s" s="9">
        <v>172</v>
      </c>
      <c r="H3" t="s" s="9">
        <v>173</v>
      </c>
      <c r="I3" t="s" s="37">
        <v>18</v>
      </c>
    </row>
    <row r="4" ht="16" customHeight="1">
      <c r="A4" s="8"/>
      <c r="B4" t="s" s="12">
        <v>19</v>
      </c>
      <c r="C4" t="s" s="12">
        <v>174</v>
      </c>
      <c r="D4" t="s" s="13">
        <v>21</v>
      </c>
      <c r="E4" t="s" s="12">
        <v>175</v>
      </c>
      <c r="F4" t="s" s="12">
        <v>176</v>
      </c>
      <c r="G4" s="35">
        <v>500</v>
      </c>
      <c r="H4" s="35">
        <v>600</v>
      </c>
      <c r="I4" t="s" s="47">
        <v>23</v>
      </c>
    </row>
    <row r="5" ht="16" customHeight="1">
      <c r="A5" s="8"/>
      <c r="B5" t="s" s="12">
        <v>19</v>
      </c>
      <c r="C5" t="s" s="12">
        <v>174</v>
      </c>
      <c r="D5" t="s" s="13">
        <v>21</v>
      </c>
      <c r="E5" t="s" s="12">
        <v>177</v>
      </c>
      <c r="F5" t="s" s="12">
        <v>178</v>
      </c>
      <c r="G5" s="35">
        <v>1000</v>
      </c>
      <c r="H5" s="35">
        <v>1100</v>
      </c>
      <c r="I5" t="s" s="47">
        <v>24</v>
      </c>
    </row>
    <row r="6" ht="16" customHeight="1">
      <c r="A6" s="8"/>
      <c r="B6" t="s" s="12">
        <v>19</v>
      </c>
      <c r="C6" t="s" s="12">
        <v>174</v>
      </c>
      <c r="D6" t="s" s="13">
        <v>21</v>
      </c>
      <c r="E6" t="s" s="12">
        <v>179</v>
      </c>
      <c r="F6" t="s" s="12">
        <v>180</v>
      </c>
      <c r="G6" s="35">
        <v>1500</v>
      </c>
      <c r="H6" s="35">
        <v>2000</v>
      </c>
      <c r="I6" t="s" s="47">
        <v>24</v>
      </c>
    </row>
    <row r="7" ht="16" customHeight="1">
      <c r="A7" s="8"/>
      <c r="B7" t="s" s="12">
        <v>19</v>
      </c>
      <c r="C7" t="s" s="12">
        <v>174</v>
      </c>
      <c r="D7" t="s" s="13">
        <v>21</v>
      </c>
      <c r="E7" t="s" s="12">
        <v>181</v>
      </c>
      <c r="F7" t="s" s="12">
        <v>182</v>
      </c>
      <c r="G7" s="35">
        <v>2000</v>
      </c>
      <c r="H7" s="35">
        <v>4000</v>
      </c>
      <c r="I7" t="s" s="47">
        <v>24</v>
      </c>
    </row>
    <row r="8" ht="16" customHeight="1">
      <c r="A8" s="8"/>
      <c r="B8" t="s" s="12">
        <v>19</v>
      </c>
      <c r="C8" t="s" s="12">
        <v>174</v>
      </c>
      <c r="D8" t="s" s="13">
        <v>21</v>
      </c>
      <c r="E8" t="s" s="12">
        <v>183</v>
      </c>
      <c r="F8" t="s" s="12">
        <v>184</v>
      </c>
      <c r="G8" s="35">
        <v>3000</v>
      </c>
      <c r="H8" s="35">
        <v>13000</v>
      </c>
      <c r="I8" t="s" s="47">
        <v>24</v>
      </c>
    </row>
    <row r="9" ht="16" customHeight="1">
      <c r="A9" s="8"/>
      <c r="B9" t="s" s="12">
        <v>19</v>
      </c>
      <c r="C9" t="s" s="12">
        <v>185</v>
      </c>
      <c r="D9" t="s" s="13">
        <v>27</v>
      </c>
      <c r="E9" t="s" s="12">
        <v>175</v>
      </c>
      <c r="F9" t="s" s="12">
        <v>176</v>
      </c>
      <c r="G9" s="35">
        <v>500</v>
      </c>
      <c r="H9" s="35">
        <v>600</v>
      </c>
      <c r="I9" t="s" s="47">
        <v>29</v>
      </c>
    </row>
    <row r="10" ht="16" customHeight="1">
      <c r="A10" s="8"/>
      <c r="B10" t="s" s="12">
        <v>19</v>
      </c>
      <c r="C10" t="s" s="12">
        <v>185</v>
      </c>
      <c r="D10" t="s" s="13">
        <v>27</v>
      </c>
      <c r="E10" t="s" s="12">
        <v>186</v>
      </c>
      <c r="F10" t="s" s="12">
        <v>180</v>
      </c>
      <c r="G10" s="35">
        <v>1500</v>
      </c>
      <c r="H10" s="35">
        <v>2000</v>
      </c>
      <c r="I10" t="s" s="47">
        <v>30</v>
      </c>
    </row>
    <row r="11" ht="16" customHeight="1">
      <c r="A11" s="8"/>
      <c r="B11" t="s" s="12">
        <v>19</v>
      </c>
      <c r="C11" t="s" s="12">
        <v>185</v>
      </c>
      <c r="D11" t="s" s="13">
        <v>27</v>
      </c>
      <c r="E11" t="s" s="12">
        <v>187</v>
      </c>
      <c r="F11" t="s" s="12">
        <v>182</v>
      </c>
      <c r="G11" s="35">
        <v>2000</v>
      </c>
      <c r="H11" s="35">
        <v>4000</v>
      </c>
      <c r="I11" t="s" s="47">
        <v>30</v>
      </c>
    </row>
    <row r="12" ht="16" customHeight="1">
      <c r="A12" s="8"/>
      <c r="B12" t="s" s="12">
        <v>19</v>
      </c>
      <c r="C12" t="s" s="12">
        <v>185</v>
      </c>
      <c r="D12" t="s" s="13">
        <v>27</v>
      </c>
      <c r="E12" t="s" s="12">
        <v>188</v>
      </c>
      <c r="F12" t="s" s="12">
        <v>189</v>
      </c>
      <c r="G12" s="35">
        <v>2000</v>
      </c>
      <c r="H12" s="35">
        <v>6000</v>
      </c>
      <c r="I12" t="s" s="47">
        <v>30</v>
      </c>
    </row>
    <row r="13" ht="16" customHeight="1">
      <c r="A13" s="8"/>
      <c r="B13" t="s" s="12">
        <v>19</v>
      </c>
      <c r="C13" t="s" s="12">
        <v>185</v>
      </c>
      <c r="D13" t="s" s="13">
        <v>27</v>
      </c>
      <c r="E13" t="s" s="12">
        <v>190</v>
      </c>
      <c r="F13" t="s" s="12">
        <v>184</v>
      </c>
      <c r="G13" s="35">
        <v>4000</v>
      </c>
      <c r="H13" s="35">
        <v>14000</v>
      </c>
      <c r="I13" t="s" s="47">
        <v>30</v>
      </c>
    </row>
    <row r="14" ht="16" customHeight="1">
      <c r="A14" s="8"/>
      <c r="B14" t="s" s="12">
        <v>19</v>
      </c>
      <c r="C14" t="s" s="12">
        <v>32</v>
      </c>
      <c r="D14" t="s" s="13">
        <v>33</v>
      </c>
      <c r="E14" t="s" s="12">
        <v>191</v>
      </c>
      <c r="F14" t="s" s="12">
        <v>192</v>
      </c>
      <c r="G14" s="35">
        <v>1000</v>
      </c>
      <c r="H14" s="35">
        <v>1000</v>
      </c>
      <c r="I14" t="s" s="47">
        <v>35</v>
      </c>
    </row>
    <row r="15" ht="16" customHeight="1">
      <c r="A15" s="8"/>
      <c r="B15" t="s" s="12">
        <v>19</v>
      </c>
      <c r="C15" t="s" s="12">
        <v>32</v>
      </c>
      <c r="D15" t="s" s="13">
        <v>33</v>
      </c>
      <c r="E15" t="s" s="12">
        <v>193</v>
      </c>
      <c r="F15" t="s" s="12">
        <v>194</v>
      </c>
      <c r="G15" s="35">
        <v>60</v>
      </c>
      <c r="H15" s="35">
        <v>60</v>
      </c>
      <c r="I15" t="s" s="47">
        <v>35</v>
      </c>
    </row>
    <row r="16" ht="16" customHeight="1">
      <c r="A16" s="8"/>
      <c r="B16" t="s" s="12">
        <v>19</v>
      </c>
      <c r="C16" t="s" s="12">
        <v>32</v>
      </c>
      <c r="D16" t="s" s="13">
        <v>33</v>
      </c>
      <c r="E16" t="s" s="12">
        <v>195</v>
      </c>
      <c r="F16" t="s" s="12">
        <v>196</v>
      </c>
      <c r="G16" s="35">
        <v>150</v>
      </c>
      <c r="H16" s="35">
        <v>150</v>
      </c>
      <c r="I16" t="s" s="47">
        <v>197</v>
      </c>
    </row>
    <row r="17" ht="16" customHeight="1">
      <c r="A17" s="8"/>
      <c r="B17" t="s" s="12">
        <v>19</v>
      </c>
      <c r="C17" t="s" s="12">
        <v>32</v>
      </c>
      <c r="D17" t="s" s="13">
        <v>33</v>
      </c>
      <c r="E17" t="s" s="12">
        <v>198</v>
      </c>
      <c r="F17" t="s" s="12">
        <v>199</v>
      </c>
      <c r="G17" s="35">
        <v>200</v>
      </c>
      <c r="H17" s="35">
        <v>200</v>
      </c>
      <c r="I17" t="s" s="47">
        <v>197</v>
      </c>
    </row>
    <row r="18" ht="16" customHeight="1">
      <c r="A18" s="8"/>
      <c r="B18" t="s" s="12">
        <v>19</v>
      </c>
      <c r="C18" t="s" s="12">
        <v>38</v>
      </c>
      <c r="D18" t="s" s="13">
        <v>39</v>
      </c>
      <c r="E18" t="s" s="12">
        <v>200</v>
      </c>
      <c r="F18" t="s" s="12">
        <v>201</v>
      </c>
      <c r="G18" s="35">
        <v>200</v>
      </c>
      <c r="H18" s="35">
        <v>220</v>
      </c>
      <c r="I18" t="s" s="48">
        <v>41</v>
      </c>
    </row>
    <row r="19" ht="16" customHeight="1">
      <c r="A19" s="8"/>
      <c r="B19" t="s" s="12">
        <v>19</v>
      </c>
      <c r="C19" t="s" s="12">
        <v>38</v>
      </c>
      <c r="D19" t="s" s="13">
        <v>39</v>
      </c>
      <c r="E19" t="s" s="12">
        <v>202</v>
      </c>
      <c r="F19" t="s" s="12">
        <v>203</v>
      </c>
      <c r="G19" s="35">
        <v>1000</v>
      </c>
      <c r="H19" s="35">
        <v>1100</v>
      </c>
      <c r="I19" t="s" s="48">
        <v>42</v>
      </c>
    </row>
    <row r="20" ht="16" customHeight="1">
      <c r="A20" s="8"/>
      <c r="B20" t="s" s="12">
        <v>19</v>
      </c>
      <c r="C20" t="s" s="12">
        <v>38</v>
      </c>
      <c r="D20" t="s" s="13">
        <v>39</v>
      </c>
      <c r="E20" t="s" s="12">
        <v>204</v>
      </c>
      <c r="F20" t="s" s="12">
        <v>205</v>
      </c>
      <c r="G20" s="35">
        <v>1500</v>
      </c>
      <c r="H20" s="35">
        <v>2000</v>
      </c>
      <c r="I20" t="s" s="48">
        <v>43</v>
      </c>
    </row>
    <row r="21" ht="16" customHeight="1">
      <c r="A21" s="8"/>
      <c r="B21" t="s" s="12">
        <v>19</v>
      </c>
      <c r="C21" t="s" s="12">
        <v>38</v>
      </c>
      <c r="D21" t="s" s="13">
        <v>39</v>
      </c>
      <c r="E21" t="s" s="12">
        <v>206</v>
      </c>
      <c r="F21" t="s" s="12">
        <v>207</v>
      </c>
      <c r="G21" s="35">
        <v>2000</v>
      </c>
      <c r="H21" s="35">
        <v>4000</v>
      </c>
      <c r="I21" t="s" s="48">
        <v>44</v>
      </c>
    </row>
    <row r="22" ht="16" customHeight="1">
      <c r="A22" s="8"/>
      <c r="B22" t="s" s="12">
        <v>19</v>
      </c>
      <c r="C22" t="s" s="12">
        <v>38</v>
      </c>
      <c r="D22" t="s" s="13">
        <v>39</v>
      </c>
      <c r="E22" t="s" s="12">
        <v>208</v>
      </c>
      <c r="F22" t="s" s="12">
        <v>209</v>
      </c>
      <c r="G22" s="35">
        <v>3000</v>
      </c>
      <c r="H22" s="35">
        <v>11000</v>
      </c>
      <c r="I22" t="s" s="48">
        <v>45</v>
      </c>
    </row>
    <row r="23" ht="16" customHeight="1">
      <c r="A23" s="8"/>
      <c r="B23" t="s" s="12">
        <v>19</v>
      </c>
      <c r="C23" t="s" s="12">
        <v>38</v>
      </c>
      <c r="D23" t="s" s="13">
        <v>39</v>
      </c>
      <c r="E23" t="s" s="12">
        <v>210</v>
      </c>
      <c r="F23" t="s" s="12">
        <v>182</v>
      </c>
      <c r="G23" s="35">
        <v>1500</v>
      </c>
      <c r="H23" s="35">
        <v>3500</v>
      </c>
      <c r="I23" t="s" s="48">
        <v>45</v>
      </c>
    </row>
    <row r="24" ht="16" customHeight="1">
      <c r="A24" s="8"/>
      <c r="B24" t="s" s="12">
        <v>19</v>
      </c>
      <c r="C24" t="s" s="12">
        <v>46</v>
      </c>
      <c r="D24" t="s" s="13">
        <v>47</v>
      </c>
      <c r="E24" t="s" s="12">
        <v>211</v>
      </c>
      <c r="F24" t="s" s="12">
        <v>212</v>
      </c>
      <c r="G24" s="35">
        <v>2000</v>
      </c>
      <c r="H24" s="35">
        <v>2500</v>
      </c>
      <c r="I24" t="s" s="47">
        <v>49</v>
      </c>
    </row>
    <row r="25" ht="16" customHeight="1">
      <c r="A25" s="8"/>
      <c r="B25" t="s" s="12">
        <v>19</v>
      </c>
      <c r="C25" t="s" s="12">
        <v>46</v>
      </c>
      <c r="D25" t="s" s="13">
        <v>47</v>
      </c>
      <c r="E25" t="s" s="12">
        <v>213</v>
      </c>
      <c r="F25" t="s" s="12">
        <v>214</v>
      </c>
      <c r="G25" s="35">
        <v>300</v>
      </c>
      <c r="H25" s="35">
        <v>500</v>
      </c>
      <c r="I25" t="s" s="47">
        <v>50</v>
      </c>
    </row>
    <row r="26" ht="16" customHeight="1">
      <c r="A26" s="8"/>
      <c r="B26" t="s" s="12">
        <v>19</v>
      </c>
      <c r="C26" t="s" s="12">
        <v>46</v>
      </c>
      <c r="D26" t="s" s="13">
        <v>47</v>
      </c>
      <c r="E26" t="s" s="12">
        <v>215</v>
      </c>
      <c r="F26" t="s" s="12">
        <v>216</v>
      </c>
      <c r="G26" s="35">
        <v>1500</v>
      </c>
      <c r="H26" s="35">
        <v>11500</v>
      </c>
      <c r="I26" t="s" s="47">
        <v>50</v>
      </c>
    </row>
    <row r="27" ht="16" customHeight="1">
      <c r="A27" s="8"/>
      <c r="B27" t="s" s="12">
        <v>19</v>
      </c>
      <c r="C27" t="s" s="12">
        <v>51</v>
      </c>
      <c r="D27" t="s" s="13">
        <v>52</v>
      </c>
      <c r="E27" t="s" s="12">
        <v>217</v>
      </c>
      <c r="F27" t="s" s="12">
        <v>218</v>
      </c>
      <c r="G27" s="35">
        <v>500</v>
      </c>
      <c r="H27" s="35">
        <v>500</v>
      </c>
      <c r="I27" t="s" s="48">
        <v>54</v>
      </c>
    </row>
    <row r="28" ht="16" customHeight="1">
      <c r="A28" s="8"/>
      <c r="B28" t="s" s="12">
        <v>19</v>
      </c>
      <c r="C28" t="s" s="12">
        <v>51</v>
      </c>
      <c r="D28" t="s" s="13">
        <v>52</v>
      </c>
      <c r="E28" t="s" s="12">
        <v>219</v>
      </c>
      <c r="F28" t="s" s="12">
        <v>180</v>
      </c>
      <c r="G28" s="35">
        <v>2000</v>
      </c>
      <c r="H28" s="35">
        <v>2200</v>
      </c>
      <c r="I28" t="s" s="48">
        <v>54</v>
      </c>
    </row>
    <row r="29" ht="16" customHeight="1">
      <c r="A29" s="8"/>
      <c r="B29" t="s" s="12">
        <v>19</v>
      </c>
      <c r="C29" t="s" s="12">
        <v>51</v>
      </c>
      <c r="D29" t="s" s="13">
        <v>52</v>
      </c>
      <c r="E29" t="s" s="12">
        <v>220</v>
      </c>
      <c r="F29" t="s" s="12">
        <v>189</v>
      </c>
      <c r="G29" s="35">
        <v>2000</v>
      </c>
      <c r="H29" s="35">
        <v>2000</v>
      </c>
      <c r="I29" t="s" s="48">
        <v>54</v>
      </c>
    </row>
    <row r="30" ht="16" customHeight="1">
      <c r="A30" s="8"/>
      <c r="B30" t="s" s="12">
        <v>19</v>
      </c>
      <c r="C30" t="s" s="12">
        <v>51</v>
      </c>
      <c r="D30" t="s" s="13">
        <v>52</v>
      </c>
      <c r="E30" t="s" s="12">
        <v>221</v>
      </c>
      <c r="F30" t="s" s="12">
        <v>207</v>
      </c>
      <c r="G30" s="35">
        <v>2000</v>
      </c>
      <c r="H30" s="35">
        <v>5000</v>
      </c>
      <c r="I30" t="s" s="48">
        <v>222</v>
      </c>
    </row>
    <row r="31" ht="16" customHeight="1">
      <c r="A31" s="8"/>
      <c r="B31" t="s" s="12">
        <v>19</v>
      </c>
      <c r="C31" t="s" s="12">
        <v>51</v>
      </c>
      <c r="D31" t="s" s="13">
        <v>52</v>
      </c>
      <c r="E31" t="s" s="12">
        <v>223</v>
      </c>
      <c r="F31" t="s" s="12">
        <v>182</v>
      </c>
      <c r="G31" s="35">
        <v>1500</v>
      </c>
      <c r="H31" s="35">
        <v>3500</v>
      </c>
      <c r="I31" t="s" s="48">
        <v>222</v>
      </c>
    </row>
    <row r="32" ht="16" customHeight="1">
      <c r="A32" s="8"/>
      <c r="B32" t="s" s="12">
        <v>19</v>
      </c>
      <c r="C32" t="s" s="12">
        <v>51</v>
      </c>
      <c r="D32" t="s" s="13">
        <v>52</v>
      </c>
      <c r="E32" t="s" s="12">
        <v>224</v>
      </c>
      <c r="F32" t="s" s="12">
        <v>182</v>
      </c>
      <c r="G32" s="35">
        <v>1500</v>
      </c>
      <c r="H32" s="35">
        <v>3500</v>
      </c>
      <c r="I32" t="s" s="48">
        <v>222</v>
      </c>
    </row>
    <row r="33" ht="16" customHeight="1">
      <c r="A33" s="8"/>
      <c r="B33" t="s" s="12">
        <v>19</v>
      </c>
      <c r="C33" t="s" s="12">
        <v>51</v>
      </c>
      <c r="D33" t="s" s="13">
        <v>52</v>
      </c>
      <c r="E33" t="s" s="12">
        <v>225</v>
      </c>
      <c r="F33" t="s" s="12">
        <v>182</v>
      </c>
      <c r="G33" s="35">
        <v>1500</v>
      </c>
      <c r="H33" s="35">
        <v>3500</v>
      </c>
      <c r="I33" t="s" s="48">
        <v>222</v>
      </c>
    </row>
    <row r="34" ht="16" customHeight="1">
      <c r="A34" s="8"/>
      <c r="B34" t="s" s="12">
        <v>19</v>
      </c>
      <c r="C34" t="s" s="12">
        <v>51</v>
      </c>
      <c r="D34" t="s" s="13">
        <v>52</v>
      </c>
      <c r="E34" t="s" s="12">
        <v>226</v>
      </c>
      <c r="F34" t="s" s="12">
        <v>189</v>
      </c>
      <c r="G34" s="35">
        <v>2000</v>
      </c>
      <c r="H34" s="35">
        <v>6000</v>
      </c>
      <c r="I34" t="s" s="48">
        <v>222</v>
      </c>
    </row>
    <row r="35" ht="16" customHeight="1">
      <c r="A35" s="8"/>
      <c r="B35" t="s" s="12">
        <v>19</v>
      </c>
      <c r="C35" t="s" s="12">
        <v>51</v>
      </c>
      <c r="D35" t="s" s="13">
        <v>52</v>
      </c>
      <c r="E35" t="s" s="12">
        <v>227</v>
      </c>
      <c r="F35" t="s" s="12">
        <v>189</v>
      </c>
      <c r="G35" s="35">
        <v>2000</v>
      </c>
      <c r="H35" s="35">
        <v>6000</v>
      </c>
      <c r="I35" t="s" s="48">
        <v>222</v>
      </c>
    </row>
    <row r="36" ht="16" customHeight="1">
      <c r="A36" s="8"/>
      <c r="B36" t="s" s="12">
        <v>19</v>
      </c>
      <c r="C36" t="s" s="12">
        <v>51</v>
      </c>
      <c r="D36" t="s" s="13">
        <v>52</v>
      </c>
      <c r="E36" t="s" s="12">
        <v>228</v>
      </c>
      <c r="F36" t="s" s="12">
        <v>189</v>
      </c>
      <c r="G36" s="35">
        <v>2000</v>
      </c>
      <c r="H36" s="35">
        <v>6000</v>
      </c>
      <c r="I36" t="s" s="48">
        <v>222</v>
      </c>
    </row>
    <row r="37" ht="16" customHeight="1">
      <c r="A37" s="8"/>
      <c r="B37" t="s" s="12">
        <v>19</v>
      </c>
      <c r="C37" t="s" s="12">
        <v>51</v>
      </c>
      <c r="D37" t="s" s="13">
        <v>52</v>
      </c>
      <c r="E37" t="s" s="12">
        <v>229</v>
      </c>
      <c r="F37" t="s" s="12">
        <v>230</v>
      </c>
      <c r="G37" s="35">
        <v>1500</v>
      </c>
      <c r="H37" s="35">
        <v>1500</v>
      </c>
      <c r="I37" t="s" s="48">
        <v>55</v>
      </c>
    </row>
    <row r="38" ht="16" customHeight="1">
      <c r="A38" s="8"/>
      <c r="B38" t="s" s="12">
        <v>19</v>
      </c>
      <c r="C38" t="s" s="12">
        <v>51</v>
      </c>
      <c r="D38" t="s" s="13">
        <v>52</v>
      </c>
      <c r="E38" t="s" s="12">
        <v>231</v>
      </c>
      <c r="F38" t="s" s="12">
        <v>203</v>
      </c>
      <c r="G38" s="35">
        <v>500</v>
      </c>
      <c r="H38" s="35">
        <v>700</v>
      </c>
      <c r="I38" t="s" s="48">
        <v>55</v>
      </c>
    </row>
    <row r="39" ht="16" customHeight="1">
      <c r="A39" s="8"/>
      <c r="B39" t="s" s="12">
        <v>19</v>
      </c>
      <c r="C39" t="s" s="12">
        <v>51</v>
      </c>
      <c r="D39" t="s" s="13">
        <v>52</v>
      </c>
      <c r="E39" t="s" s="12">
        <v>232</v>
      </c>
      <c r="F39" t="s" s="12">
        <v>203</v>
      </c>
      <c r="G39" s="35">
        <v>500</v>
      </c>
      <c r="H39" s="35">
        <v>700</v>
      </c>
      <c r="I39" t="s" s="48">
        <v>55</v>
      </c>
    </row>
    <row r="40" ht="16" customHeight="1">
      <c r="A40" s="8"/>
      <c r="B40" t="s" s="12">
        <v>19</v>
      </c>
      <c r="C40" t="s" s="12">
        <v>51</v>
      </c>
      <c r="D40" t="s" s="13">
        <v>52</v>
      </c>
      <c r="E40" t="s" s="12">
        <v>233</v>
      </c>
      <c r="F40" t="s" s="12">
        <v>214</v>
      </c>
      <c r="G40" s="35">
        <v>300</v>
      </c>
      <c r="H40" s="35">
        <v>500</v>
      </c>
      <c r="I40" t="s" s="48">
        <v>55</v>
      </c>
    </row>
    <row r="41" ht="16" customHeight="1">
      <c r="A41" s="8"/>
      <c r="B41" t="s" s="12">
        <v>19</v>
      </c>
      <c r="C41" t="s" s="12">
        <v>51</v>
      </c>
      <c r="D41" t="s" s="13">
        <v>52</v>
      </c>
      <c r="E41" t="s" s="12">
        <v>234</v>
      </c>
      <c r="F41" t="s" s="12">
        <v>230</v>
      </c>
      <c r="G41" s="35">
        <v>1500</v>
      </c>
      <c r="H41" s="35">
        <v>1500</v>
      </c>
      <c r="I41" t="s" s="48">
        <v>55</v>
      </c>
    </row>
    <row r="42" ht="16" customHeight="1">
      <c r="A42" s="8"/>
      <c r="B42" t="s" s="12">
        <v>19</v>
      </c>
      <c r="C42" t="s" s="12">
        <v>51</v>
      </c>
      <c r="D42" t="s" s="13">
        <v>52</v>
      </c>
      <c r="E42" t="s" s="12">
        <v>235</v>
      </c>
      <c r="F42" t="s" s="12">
        <v>218</v>
      </c>
      <c r="G42" s="35">
        <v>500</v>
      </c>
      <c r="H42" s="35">
        <v>500</v>
      </c>
      <c r="I42" t="s" s="48">
        <v>56</v>
      </c>
    </row>
    <row r="43" ht="16" customHeight="1">
      <c r="A43" s="8"/>
      <c r="B43" t="s" s="12">
        <v>19</v>
      </c>
      <c r="C43" t="s" s="12">
        <v>51</v>
      </c>
      <c r="D43" t="s" s="13">
        <v>52</v>
      </c>
      <c r="E43" t="s" s="12">
        <v>236</v>
      </c>
      <c r="F43" t="s" s="12">
        <v>203</v>
      </c>
      <c r="G43" s="35">
        <v>1800</v>
      </c>
      <c r="H43" s="35">
        <v>2000</v>
      </c>
      <c r="I43" t="s" s="48">
        <v>56</v>
      </c>
    </row>
    <row r="44" ht="16" customHeight="1">
      <c r="A44" s="8"/>
      <c r="B44" t="s" s="12">
        <v>19</v>
      </c>
      <c r="C44" t="s" s="12">
        <v>51</v>
      </c>
      <c r="D44" t="s" s="13">
        <v>52</v>
      </c>
      <c r="E44" t="s" s="12">
        <v>237</v>
      </c>
      <c r="F44" t="s" s="12">
        <v>238</v>
      </c>
      <c r="G44" s="35">
        <v>2500</v>
      </c>
      <c r="H44" s="35">
        <v>10000</v>
      </c>
      <c r="I44" t="s" s="48">
        <v>56</v>
      </c>
    </row>
    <row r="45" ht="16" customHeight="1">
      <c r="A45" s="8"/>
      <c r="B45" t="s" s="12">
        <v>19</v>
      </c>
      <c r="C45" t="s" s="12">
        <v>51</v>
      </c>
      <c r="D45" t="s" s="13">
        <v>52</v>
      </c>
      <c r="E45" t="s" s="12">
        <v>239</v>
      </c>
      <c r="F45" t="s" s="12">
        <v>218</v>
      </c>
      <c r="G45" s="35">
        <v>500</v>
      </c>
      <c r="H45" s="35">
        <v>500</v>
      </c>
      <c r="I45" t="s" s="48">
        <v>57</v>
      </c>
    </row>
    <row r="46" ht="16" customHeight="1">
      <c r="A46" s="8"/>
      <c r="B46" t="s" s="12">
        <v>19</v>
      </c>
      <c r="C46" t="s" s="12">
        <v>51</v>
      </c>
      <c r="D46" t="s" s="13">
        <v>52</v>
      </c>
      <c r="E46" t="s" s="12">
        <v>240</v>
      </c>
      <c r="F46" t="s" s="12">
        <v>203</v>
      </c>
      <c r="G46" s="35">
        <v>1500</v>
      </c>
      <c r="H46" s="35">
        <v>1600</v>
      </c>
      <c r="I46" t="s" s="48">
        <v>57</v>
      </c>
    </row>
    <row r="47" ht="16" customHeight="1">
      <c r="A47" s="8"/>
      <c r="B47" t="s" s="12">
        <v>19</v>
      </c>
      <c r="C47" t="s" s="12">
        <v>51</v>
      </c>
      <c r="D47" t="s" s="13">
        <v>52</v>
      </c>
      <c r="E47" t="s" s="12">
        <v>241</v>
      </c>
      <c r="F47" t="s" s="12">
        <v>182</v>
      </c>
      <c r="G47" s="35">
        <v>1500</v>
      </c>
      <c r="H47" s="35">
        <v>3500</v>
      </c>
      <c r="I47" t="s" s="48">
        <v>57</v>
      </c>
    </row>
    <row r="48" ht="16" customHeight="1">
      <c r="A48" s="8"/>
      <c r="B48" t="s" s="12">
        <v>19</v>
      </c>
      <c r="C48" t="s" s="12">
        <v>51</v>
      </c>
      <c r="D48" t="s" s="13">
        <v>52</v>
      </c>
      <c r="E48" t="s" s="12">
        <v>242</v>
      </c>
      <c r="F48" t="s" s="12">
        <v>243</v>
      </c>
      <c r="G48" s="35">
        <v>500</v>
      </c>
      <c r="H48" s="35">
        <v>500</v>
      </c>
      <c r="I48" t="s" s="48">
        <v>58</v>
      </c>
    </row>
    <row r="49" ht="16" customHeight="1">
      <c r="A49" s="8"/>
      <c r="B49" t="s" s="12">
        <v>19</v>
      </c>
      <c r="C49" t="s" s="12">
        <v>51</v>
      </c>
      <c r="D49" t="s" s="13">
        <v>60</v>
      </c>
      <c r="E49" t="s" s="12">
        <v>244</v>
      </c>
      <c r="F49" t="s" s="12">
        <v>182</v>
      </c>
      <c r="G49" s="35">
        <v>1500</v>
      </c>
      <c r="H49" s="35">
        <v>1500</v>
      </c>
      <c r="I49" t="s" s="48">
        <v>58</v>
      </c>
    </row>
    <row r="50" ht="16" customHeight="1">
      <c r="A50" s="8"/>
      <c r="B50" t="s" s="12">
        <v>19</v>
      </c>
      <c r="C50" t="s" s="12">
        <v>59</v>
      </c>
      <c r="D50" t="s" s="13">
        <v>60</v>
      </c>
      <c r="E50" t="s" s="12">
        <v>245</v>
      </c>
      <c r="F50" t="s" s="12">
        <v>246</v>
      </c>
      <c r="G50" s="35">
        <v>1000</v>
      </c>
      <c r="H50" s="35">
        <v>1000</v>
      </c>
      <c r="I50" t="s" s="47">
        <v>62</v>
      </c>
    </row>
    <row r="51" ht="16" customHeight="1">
      <c r="A51" s="8"/>
      <c r="B51" t="s" s="12">
        <v>19</v>
      </c>
      <c r="C51" t="s" s="12">
        <v>59</v>
      </c>
      <c r="D51" t="s" s="13">
        <v>60</v>
      </c>
      <c r="E51" t="s" s="12">
        <v>247</v>
      </c>
      <c r="F51" t="s" s="12">
        <v>180</v>
      </c>
      <c r="G51" s="35">
        <v>800</v>
      </c>
      <c r="H51" s="35">
        <v>1300</v>
      </c>
      <c r="I51" t="s" s="47">
        <v>62</v>
      </c>
    </row>
    <row r="52" ht="16" customHeight="1">
      <c r="A52" s="8"/>
      <c r="B52" t="s" s="12">
        <v>19</v>
      </c>
      <c r="C52" t="s" s="12">
        <v>59</v>
      </c>
      <c r="D52" t="s" s="13">
        <v>60</v>
      </c>
      <c r="E52" t="s" s="12">
        <v>248</v>
      </c>
      <c r="F52" t="s" s="12">
        <v>189</v>
      </c>
      <c r="G52" s="35">
        <v>2000</v>
      </c>
      <c r="H52" s="35">
        <v>7000</v>
      </c>
      <c r="I52" t="s" s="47">
        <v>62</v>
      </c>
    </row>
    <row r="53" ht="16" customHeight="1">
      <c r="A53" s="8"/>
      <c r="B53" t="s" s="12">
        <v>19</v>
      </c>
      <c r="C53" t="s" s="12">
        <v>59</v>
      </c>
      <c r="D53" t="s" s="13">
        <v>60</v>
      </c>
      <c r="E53" t="s" s="12">
        <v>249</v>
      </c>
      <c r="F53" t="s" s="12">
        <v>180</v>
      </c>
      <c r="G53" s="35">
        <v>800</v>
      </c>
      <c r="H53" s="35">
        <v>800</v>
      </c>
      <c r="I53" t="s" s="47">
        <v>62</v>
      </c>
    </row>
    <row r="54" ht="16" customHeight="1">
      <c r="A54" s="8"/>
      <c r="B54" t="s" s="12">
        <v>19</v>
      </c>
      <c r="C54" t="s" s="12">
        <v>59</v>
      </c>
      <c r="D54" t="s" s="13">
        <v>60</v>
      </c>
      <c r="E54" t="s" s="12">
        <v>250</v>
      </c>
      <c r="F54" t="s" s="12">
        <v>243</v>
      </c>
      <c r="G54" s="35">
        <v>200</v>
      </c>
      <c r="H54" s="35">
        <v>200</v>
      </c>
      <c r="I54" t="s" s="47">
        <v>63</v>
      </c>
    </row>
    <row r="55" ht="16" customHeight="1">
      <c r="A55" s="8"/>
      <c r="B55" t="s" s="12">
        <v>19</v>
      </c>
      <c r="C55" t="s" s="12">
        <v>59</v>
      </c>
      <c r="D55" t="s" s="13">
        <v>60</v>
      </c>
      <c r="E55" t="s" s="12">
        <v>251</v>
      </c>
      <c r="F55" t="s" s="12">
        <v>243</v>
      </c>
      <c r="G55" s="35">
        <v>200</v>
      </c>
      <c r="H55" s="35">
        <v>200</v>
      </c>
      <c r="I55" t="s" s="47">
        <v>64</v>
      </c>
    </row>
    <row r="56" ht="16" customHeight="1">
      <c r="A56" s="8"/>
      <c r="B56" t="s" s="12">
        <v>19</v>
      </c>
      <c r="C56" t="s" s="12">
        <v>127</v>
      </c>
      <c r="D56" t="s" s="13">
        <v>128</v>
      </c>
      <c r="E56" t="s" s="12">
        <v>252</v>
      </c>
      <c r="F56" t="s" s="12">
        <v>253</v>
      </c>
      <c r="G56" s="35">
        <v>500</v>
      </c>
      <c r="H56" s="35">
        <v>600</v>
      </c>
      <c r="I56" s="49"/>
    </row>
    <row r="57" ht="16" customHeight="1">
      <c r="A57" s="8"/>
      <c r="B57" t="s" s="12">
        <v>19</v>
      </c>
      <c r="C57" t="s" s="12">
        <v>127</v>
      </c>
      <c r="D57" t="s" s="13">
        <v>128</v>
      </c>
      <c r="E57" t="s" s="12">
        <v>254</v>
      </c>
      <c r="F57" t="s" s="12">
        <v>253</v>
      </c>
      <c r="G57" s="35">
        <v>2000</v>
      </c>
      <c r="H57" s="35">
        <v>2000</v>
      </c>
      <c r="I57" s="49"/>
    </row>
    <row r="58" ht="16" customHeight="1">
      <c r="A58" s="8"/>
      <c r="B58" t="s" s="12">
        <v>19</v>
      </c>
      <c r="C58" t="s" s="12">
        <v>136</v>
      </c>
      <c r="D58" t="s" s="13">
        <v>137</v>
      </c>
      <c r="E58" t="s" s="50">
        <v>255</v>
      </c>
      <c r="F58" t="s" s="12">
        <v>253</v>
      </c>
      <c r="G58" s="35">
        <v>1500</v>
      </c>
      <c r="H58" s="35">
        <v>1500</v>
      </c>
      <c r="I58" s="49"/>
    </row>
    <row r="59" ht="16" customHeight="1">
      <c r="A59" s="8"/>
      <c r="B59" t="s" s="12">
        <v>138</v>
      </c>
      <c r="C59" t="s" s="12">
        <v>256</v>
      </c>
      <c r="D59" t="s" s="13">
        <v>257</v>
      </c>
      <c r="E59" t="s" s="12">
        <v>258</v>
      </c>
      <c r="F59" t="s" s="12">
        <v>259</v>
      </c>
      <c r="G59" s="35">
        <v>200</v>
      </c>
      <c r="H59" s="35">
        <v>250</v>
      </c>
      <c r="I59" s="49"/>
    </row>
    <row r="60" ht="16" customHeight="1">
      <c r="A60" s="8"/>
      <c r="B60" t="s" s="12">
        <v>138</v>
      </c>
      <c r="C60" t="s" s="12">
        <v>256</v>
      </c>
      <c r="D60" t="s" s="13">
        <v>257</v>
      </c>
      <c r="E60" t="s" s="12">
        <v>260</v>
      </c>
      <c r="F60" t="s" s="12">
        <v>259</v>
      </c>
      <c r="G60" s="35">
        <v>200</v>
      </c>
      <c r="H60" s="35">
        <v>250</v>
      </c>
      <c r="I60" s="49"/>
    </row>
    <row r="61" ht="16" customHeight="1">
      <c r="A61" s="8"/>
      <c r="B61" t="s" s="12">
        <v>138</v>
      </c>
      <c r="C61" t="s" s="12">
        <v>256</v>
      </c>
      <c r="D61" t="s" s="13">
        <v>257</v>
      </c>
      <c r="E61" t="s" s="12">
        <v>261</v>
      </c>
      <c r="F61" t="s" s="12">
        <v>259</v>
      </c>
      <c r="G61" s="35">
        <v>200</v>
      </c>
      <c r="H61" s="35">
        <v>250</v>
      </c>
      <c r="I61" s="49"/>
    </row>
    <row r="62" ht="16" customHeight="1">
      <c r="A62" s="8"/>
      <c r="B62" t="s" s="12">
        <v>138</v>
      </c>
      <c r="C62" t="s" s="12">
        <v>256</v>
      </c>
      <c r="D62" t="s" s="13">
        <v>257</v>
      </c>
      <c r="E62" t="s" s="12">
        <v>262</v>
      </c>
      <c r="F62" t="s" s="12">
        <v>259</v>
      </c>
      <c r="G62" s="35">
        <v>200</v>
      </c>
      <c r="H62" s="35">
        <v>250</v>
      </c>
      <c r="I62" s="49"/>
    </row>
    <row r="63" ht="16" customHeight="1">
      <c r="A63" s="8"/>
      <c r="B63" t="s" s="12">
        <v>138</v>
      </c>
      <c r="C63" t="s" s="12">
        <v>263</v>
      </c>
      <c r="D63" t="s" s="13">
        <v>264</v>
      </c>
      <c r="E63" t="s" s="12">
        <v>265</v>
      </c>
      <c r="F63" t="s" s="12">
        <v>266</v>
      </c>
      <c r="G63" s="35">
        <v>150</v>
      </c>
      <c r="H63" s="35">
        <v>200</v>
      </c>
      <c r="I63" s="49"/>
    </row>
    <row r="64" ht="16" customHeight="1">
      <c r="A64" s="8"/>
      <c r="B64" t="s" s="12">
        <v>138</v>
      </c>
      <c r="C64" t="s" s="12">
        <v>263</v>
      </c>
      <c r="D64" t="s" s="13">
        <v>264</v>
      </c>
      <c r="E64" t="s" s="12">
        <v>267</v>
      </c>
      <c r="F64" t="s" s="12">
        <v>266</v>
      </c>
      <c r="G64" s="35">
        <v>150</v>
      </c>
      <c r="H64" s="35">
        <v>200</v>
      </c>
      <c r="I64" s="49"/>
    </row>
    <row r="65" ht="16" customHeight="1">
      <c r="A65" s="8"/>
      <c r="B65" t="s" s="12">
        <v>138</v>
      </c>
      <c r="C65" t="s" s="12">
        <v>263</v>
      </c>
      <c r="D65" t="s" s="13">
        <v>264</v>
      </c>
      <c r="E65" t="s" s="12">
        <v>268</v>
      </c>
      <c r="F65" t="s" s="12">
        <v>266</v>
      </c>
      <c r="G65" s="35">
        <v>150</v>
      </c>
      <c r="H65" s="35">
        <v>200</v>
      </c>
      <c r="I65" s="49"/>
    </row>
    <row r="66" ht="16" customHeight="1">
      <c r="A66" s="8"/>
      <c r="B66" t="s" s="12">
        <v>138</v>
      </c>
      <c r="C66" t="s" s="12">
        <v>141</v>
      </c>
      <c r="D66" t="s" s="13">
        <v>142</v>
      </c>
      <c r="E66" t="s" s="12">
        <v>269</v>
      </c>
      <c r="F66" t="s" s="12">
        <v>270</v>
      </c>
      <c r="G66" s="35">
        <v>200</v>
      </c>
      <c r="H66" s="35">
        <v>200</v>
      </c>
      <c r="I66" s="49"/>
    </row>
    <row r="67" ht="16" customHeight="1">
      <c r="A67" s="8"/>
      <c r="B67" t="s" s="12">
        <v>138</v>
      </c>
      <c r="C67" t="s" s="12">
        <v>141</v>
      </c>
      <c r="D67" t="s" s="13">
        <v>142</v>
      </c>
      <c r="E67" t="s" s="12">
        <v>271</v>
      </c>
      <c r="F67" t="s" s="12">
        <v>270</v>
      </c>
      <c r="G67" s="35">
        <v>200</v>
      </c>
      <c r="H67" s="35">
        <v>200</v>
      </c>
      <c r="I67" s="49"/>
    </row>
    <row r="68" ht="16" customHeight="1">
      <c r="A68" s="8"/>
      <c r="B68" t="s" s="12">
        <v>138</v>
      </c>
      <c r="C68" t="s" s="12">
        <v>272</v>
      </c>
      <c r="D68" t="s" s="13">
        <v>273</v>
      </c>
      <c r="E68" t="s" s="50">
        <v>274</v>
      </c>
      <c r="F68" t="s" s="12">
        <v>275</v>
      </c>
      <c r="G68" s="35">
        <v>2000</v>
      </c>
      <c r="H68" s="35">
        <v>4000</v>
      </c>
      <c r="I68" s="49"/>
    </row>
    <row r="69" ht="16" customHeight="1">
      <c r="A69" s="8"/>
      <c r="B69" s="40"/>
      <c r="C69" s="40"/>
      <c r="D69" s="42"/>
      <c r="E69" s="40"/>
      <c r="F69" s="40"/>
      <c r="G69" s="40"/>
      <c r="H69" s="40"/>
      <c r="I69" s="49"/>
    </row>
    <row r="70" ht="16" customHeight="1">
      <c r="A70" s="8"/>
      <c r="B70" s="40"/>
      <c r="C70" s="40"/>
      <c r="D70" s="42"/>
      <c r="E70" s="40"/>
      <c r="F70" s="40"/>
      <c r="G70" s="40"/>
      <c r="H70" s="40"/>
      <c r="I70" s="49"/>
    </row>
    <row r="71" ht="16" customHeight="1">
      <c r="A71" s="8"/>
      <c r="B71" s="40"/>
      <c r="C71" s="40"/>
      <c r="D71" s="42"/>
      <c r="E71" s="40"/>
      <c r="F71" s="40"/>
      <c r="G71" s="40"/>
      <c r="H71" s="40"/>
      <c r="I71" s="49"/>
    </row>
    <row r="72" ht="16" customHeight="1">
      <c r="A72" s="8"/>
      <c r="B72" s="40"/>
      <c r="C72" s="40"/>
      <c r="D72" s="42"/>
      <c r="E72" s="40"/>
      <c r="F72" s="40"/>
      <c r="G72" s="40"/>
      <c r="H72" s="40"/>
      <c r="I72" s="49"/>
    </row>
    <row r="73" ht="16" customHeight="1">
      <c r="A73" s="8"/>
      <c r="B73" s="40"/>
      <c r="C73" s="40"/>
      <c r="D73" s="42"/>
      <c r="E73" s="40"/>
      <c r="F73" s="40"/>
      <c r="G73" s="40"/>
      <c r="H73" s="40"/>
      <c r="I73" s="49"/>
    </row>
    <row r="74" ht="16" customHeight="1">
      <c r="A74" s="8"/>
      <c r="B74" s="40"/>
      <c r="C74" s="40"/>
      <c r="D74" s="42"/>
      <c r="E74" s="40"/>
      <c r="F74" s="40"/>
      <c r="G74" s="40"/>
      <c r="H74" s="40"/>
      <c r="I74" s="49"/>
    </row>
    <row r="75" ht="16" customHeight="1">
      <c r="A75" s="8"/>
      <c r="B75" s="40"/>
      <c r="C75" s="40"/>
      <c r="D75" s="42"/>
      <c r="E75" s="40"/>
      <c r="F75" s="40"/>
      <c r="G75" s="40"/>
      <c r="H75" s="40"/>
      <c r="I75" s="49"/>
    </row>
    <row r="76" ht="16" customHeight="1">
      <c r="A76" s="8"/>
      <c r="B76" s="40"/>
      <c r="C76" s="40"/>
      <c r="D76" s="42"/>
      <c r="E76" s="40"/>
      <c r="F76" s="40"/>
      <c r="G76" s="40"/>
      <c r="H76" s="40"/>
      <c r="I76" s="49"/>
    </row>
    <row r="77" ht="16" customHeight="1">
      <c r="A77" s="8"/>
      <c r="B77" s="40"/>
      <c r="C77" s="40"/>
      <c r="D77" s="42"/>
      <c r="E77" s="40"/>
      <c r="F77" s="40"/>
      <c r="G77" s="40"/>
      <c r="H77" s="40"/>
      <c r="I77" s="49"/>
    </row>
    <row r="78" ht="16" customHeight="1">
      <c r="A78" s="8"/>
      <c r="B78" s="40"/>
      <c r="C78" s="40"/>
      <c r="D78" s="42"/>
      <c r="E78" s="40"/>
      <c r="F78" s="40"/>
      <c r="G78" s="40"/>
      <c r="H78" s="40"/>
      <c r="I78" s="49"/>
    </row>
    <row r="79" ht="16" customHeight="1">
      <c r="A79" s="8"/>
      <c r="B79" s="40"/>
      <c r="C79" s="40"/>
      <c r="D79" s="42"/>
      <c r="E79" s="40"/>
      <c r="F79" s="40"/>
      <c r="G79" s="40"/>
      <c r="H79" s="40"/>
      <c r="I79" s="49"/>
    </row>
    <row r="80" ht="16" customHeight="1">
      <c r="A80" s="8"/>
      <c r="B80" s="40"/>
      <c r="C80" s="40"/>
      <c r="D80" s="42"/>
      <c r="E80" s="40"/>
      <c r="F80" s="40"/>
      <c r="G80" s="40"/>
      <c r="H80" s="40"/>
      <c r="I80" s="49"/>
    </row>
    <row r="81" ht="16" customHeight="1">
      <c r="A81" s="8"/>
      <c r="B81" s="40"/>
      <c r="C81" s="40"/>
      <c r="D81" s="42"/>
      <c r="E81" s="40"/>
      <c r="F81" s="40"/>
      <c r="G81" s="40"/>
      <c r="H81" s="40"/>
      <c r="I81" s="49"/>
    </row>
    <row r="82" ht="16" customHeight="1">
      <c r="A82" s="8"/>
      <c r="B82" s="40"/>
      <c r="C82" s="40"/>
      <c r="D82" s="42"/>
      <c r="E82" s="40"/>
      <c r="F82" s="40"/>
      <c r="G82" s="40"/>
      <c r="H82" s="40"/>
      <c r="I82" s="49"/>
    </row>
    <row r="83" ht="16" customHeight="1">
      <c r="A83" s="8"/>
      <c r="B83" s="40"/>
      <c r="C83" s="40"/>
      <c r="D83" s="42"/>
      <c r="E83" s="40"/>
      <c r="F83" s="40"/>
      <c r="G83" s="40"/>
      <c r="H83" s="40"/>
      <c r="I83" s="49"/>
    </row>
    <row r="84" ht="16" customHeight="1">
      <c r="A84" s="8"/>
      <c r="B84" s="40"/>
      <c r="C84" s="40"/>
      <c r="D84" s="42"/>
      <c r="E84" s="40"/>
      <c r="F84" s="40"/>
      <c r="G84" s="40"/>
      <c r="H84" s="40"/>
      <c r="I84" s="49"/>
    </row>
    <row r="85" ht="16" customHeight="1">
      <c r="A85" s="8"/>
      <c r="B85" s="40"/>
      <c r="C85" s="40"/>
      <c r="D85" s="42"/>
      <c r="E85" s="40"/>
      <c r="F85" s="40"/>
      <c r="G85" s="40"/>
      <c r="H85" s="40"/>
      <c r="I85" s="49"/>
    </row>
    <row r="86" ht="16" customHeight="1">
      <c r="A86" s="8"/>
      <c r="B86" s="40"/>
      <c r="C86" s="40"/>
      <c r="D86" s="42"/>
      <c r="E86" s="40"/>
      <c r="F86" s="40"/>
      <c r="G86" s="40"/>
      <c r="H86" s="40"/>
      <c r="I86" s="49"/>
    </row>
    <row r="87" ht="16" customHeight="1">
      <c r="A87" s="8"/>
      <c r="B87" s="40"/>
      <c r="C87" s="40"/>
      <c r="D87" s="42"/>
      <c r="E87" s="40"/>
      <c r="F87" s="40"/>
      <c r="G87" s="40"/>
      <c r="H87" s="40"/>
      <c r="I87" s="49"/>
    </row>
    <row r="88" ht="16" customHeight="1">
      <c r="A88" s="8"/>
      <c r="B88" s="40"/>
      <c r="C88" s="40"/>
      <c r="D88" s="42"/>
      <c r="E88" s="40"/>
      <c r="F88" s="40"/>
      <c r="G88" s="40"/>
      <c r="H88" s="40"/>
      <c r="I88" s="49"/>
    </row>
    <row r="89" ht="16" customHeight="1">
      <c r="A89" s="8"/>
      <c r="B89" s="40"/>
      <c r="C89" s="40"/>
      <c r="D89" s="42"/>
      <c r="E89" s="40"/>
      <c r="F89" s="40"/>
      <c r="G89" s="40"/>
      <c r="H89" s="40"/>
      <c r="I89" s="49"/>
    </row>
    <row r="90" ht="16" customHeight="1">
      <c r="A90" s="8"/>
      <c r="B90" s="40"/>
      <c r="C90" s="40"/>
      <c r="D90" s="42"/>
      <c r="E90" s="40"/>
      <c r="F90" s="40"/>
      <c r="G90" s="40"/>
      <c r="H90" s="40"/>
      <c r="I90" s="49"/>
    </row>
    <row r="91" ht="16" customHeight="1">
      <c r="A91" s="8"/>
      <c r="B91" s="40"/>
      <c r="C91" s="40"/>
      <c r="D91" s="42"/>
      <c r="E91" s="40"/>
      <c r="F91" s="40"/>
      <c r="G91" s="40"/>
      <c r="H91" s="40"/>
      <c r="I91" s="49"/>
    </row>
    <row r="92" ht="16" customHeight="1">
      <c r="A92" s="8"/>
      <c r="B92" s="40"/>
      <c r="C92" s="40"/>
      <c r="D92" s="42"/>
      <c r="E92" s="40"/>
      <c r="F92" s="40"/>
      <c r="G92" s="40"/>
      <c r="H92" s="40"/>
      <c r="I92" s="49"/>
    </row>
    <row r="93" ht="16" customHeight="1">
      <c r="A93" s="8"/>
      <c r="B93" s="40"/>
      <c r="C93" s="40"/>
      <c r="D93" s="42"/>
      <c r="E93" s="40"/>
      <c r="F93" s="40"/>
      <c r="G93" s="40"/>
      <c r="H93" s="40"/>
      <c r="I93" s="49"/>
    </row>
    <row r="94" ht="16" customHeight="1">
      <c r="A94" s="8"/>
      <c r="B94" s="40"/>
      <c r="C94" s="40"/>
      <c r="D94" s="42"/>
      <c r="E94" s="40"/>
      <c r="F94" s="40"/>
      <c r="G94" s="40"/>
      <c r="H94" s="40"/>
      <c r="I94" s="49"/>
    </row>
    <row r="95" ht="16" customHeight="1">
      <c r="A95" s="8"/>
      <c r="B95" s="40"/>
      <c r="C95" s="40"/>
      <c r="D95" s="42"/>
      <c r="E95" s="40"/>
      <c r="F95" s="40"/>
      <c r="G95" s="40"/>
      <c r="H95" s="40"/>
      <c r="I95" s="49"/>
    </row>
    <row r="96" ht="16" customHeight="1">
      <c r="A96" s="8"/>
      <c r="B96" s="40"/>
      <c r="C96" s="40"/>
      <c r="D96" s="42"/>
      <c r="E96" s="40"/>
      <c r="F96" s="40"/>
      <c r="G96" s="40"/>
      <c r="H96" s="40"/>
      <c r="I96" s="49"/>
    </row>
    <row r="97" ht="16" customHeight="1">
      <c r="A97" s="2"/>
      <c r="B97" s="15"/>
      <c r="C97" s="15"/>
      <c r="D97" s="16"/>
      <c r="E97" s="15"/>
      <c r="F97" s="15"/>
      <c r="G97" s="15"/>
      <c r="H97" s="15"/>
      <c r="I97" s="15"/>
    </row>
    <row r="98" ht="16" customHeight="1">
      <c r="A98" s="2"/>
      <c r="B98" s="2"/>
      <c r="C98" s="2"/>
      <c r="D98" s="4"/>
      <c r="E98" s="2"/>
      <c r="F98" s="2"/>
      <c r="G98" s="2"/>
      <c r="H98" s="2"/>
      <c r="I98" s="2"/>
    </row>
    <row r="99" ht="16" customHeight="1">
      <c r="A99" s="2"/>
      <c r="B99" s="2"/>
      <c r="C99" s="2"/>
      <c r="D99" s="4"/>
      <c r="E99" s="2"/>
      <c r="F99" s="2"/>
      <c r="G99" s="2"/>
      <c r="H99" s="2"/>
      <c r="I99" s="2"/>
    </row>
    <row r="100" ht="16" customHeight="1">
      <c r="A100" s="2"/>
      <c r="B100" s="2"/>
      <c r="C100" s="2"/>
      <c r="D100" s="4"/>
      <c r="E100" s="2"/>
      <c r="F100" s="2"/>
      <c r="G100" s="2"/>
      <c r="H100" s="2"/>
      <c r="I100" s="2"/>
    </row>
    <row r="101" ht="16" customHeight="1">
      <c r="A101" s="2"/>
      <c r="B101" s="2"/>
      <c r="C101" s="2"/>
      <c r="D101" s="4"/>
      <c r="E101" s="2"/>
      <c r="F101" s="2"/>
      <c r="G101" s="2"/>
      <c r="H101" s="2"/>
      <c r="I101" s="2"/>
    </row>
    <row r="102" ht="16" customHeight="1">
      <c r="A102" s="2"/>
      <c r="B102" s="2"/>
      <c r="C102" s="2"/>
      <c r="D102" s="4"/>
      <c r="E102" s="2"/>
      <c r="F102" s="2"/>
      <c r="G102" s="2"/>
      <c r="H102" s="2"/>
      <c r="I102" s="2"/>
    </row>
    <row r="103" ht="16" customHeight="1">
      <c r="A103" s="2"/>
      <c r="B103" s="2"/>
      <c r="C103" s="2"/>
      <c r="D103" s="4"/>
      <c r="E103" s="2"/>
      <c r="F103" s="2"/>
      <c r="G103" s="2"/>
      <c r="H103" s="2"/>
      <c r="I103" s="2"/>
    </row>
    <row r="104" ht="16" customHeight="1">
      <c r="A104" s="2"/>
      <c r="B104" s="2"/>
      <c r="C104" s="2"/>
      <c r="D104" s="4"/>
      <c r="E104" s="2"/>
      <c r="F104" s="2"/>
      <c r="G104" s="2"/>
      <c r="H104" s="2"/>
      <c r="I104" s="2"/>
    </row>
    <row r="105" ht="16" customHeight="1">
      <c r="A105" s="2"/>
      <c r="B105" s="2"/>
      <c r="C105" s="2"/>
      <c r="D105" s="4"/>
      <c r="E105" s="2"/>
      <c r="F105" s="2"/>
      <c r="G105" s="2"/>
      <c r="H105" s="2"/>
      <c r="I105" s="2"/>
    </row>
  </sheetData>
  <dataValidations count="3">
    <dataValidation type="list" allowBlank="1" showInputMessage="1" showErrorMessage="1" sqref="B4:B96">
      <formula1>"주공정 구역,보조 구역,NC 구역"</formula1>
    </dataValidation>
    <dataValidation type="list" allowBlank="1" showInputMessage="1" showErrorMessage="1" sqref="B97:B105">
      <formula1>"주공정 구역,보조 구역,None"</formula1>
    </dataValidation>
    <dataValidation type="list" allowBlank="1" showInputMessage="1" showErrorMessage="1" sqref="C97:H105">
      <formula1>"None"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