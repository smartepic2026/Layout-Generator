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01 NHKIM\01 학교\01 스마트팩토리캡스톤디자인\프로젝트\URS\최종\"/>
    </mc:Choice>
  </mc:AlternateContent>
  <xr:revisionPtr revIDLastSave="0" documentId="13_ncr:1_{CF92FD8C-AEF1-4D9F-B3C7-75B53ED9CC6C}" xr6:coauthVersionLast="47" xr6:coauthVersionMax="47" xr10:uidLastSave="{00000000-0000-0000-0000-000000000000}"/>
  <bookViews>
    <workbookView xWindow="3165" yWindow="-16320" windowWidth="29040" windowHeight="15720" activeTab="1" xr2:uid="{00000000-000D-0000-FFFF-FFFF00000000}"/>
  </bookViews>
  <sheets>
    <sheet name="제조공정 흐름도" sheetId="1" r:id="rId1"/>
    <sheet name="Room 요구 규격서" sheetId="2" r:id="rId2"/>
    <sheet name="제조 장비 규격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2" i="2" l="1"/>
</calcChain>
</file>

<file path=xl/sharedStrings.xml><?xml version="1.0" encoding="utf-8"?>
<sst xmlns="http://schemas.openxmlformats.org/spreadsheetml/2006/main" count="805" uniqueCount="275">
  <si>
    <t>[제품 개요]</t>
  </si>
  <si>
    <t>의약품 구분</t>
  </si>
  <si>
    <t>품목 종류</t>
  </si>
  <si>
    <t>공정 단계</t>
  </si>
  <si>
    <t>시설 구분</t>
  </si>
  <si>
    <t>공정장비 컨셉</t>
  </si>
  <si>
    <t>목표 규제기관</t>
  </si>
  <si>
    <t>Therputics</t>
  </si>
  <si>
    <t>mAb</t>
  </si>
  <si>
    <t>원료의약품 (DS)</t>
  </si>
  <si>
    <t>전용 시설</t>
  </si>
  <si>
    <t>Multi-use</t>
  </si>
  <si>
    <t>FDA</t>
  </si>
  <si>
    <t>[제조공정 흐름도]</t>
  </si>
  <si>
    <t>구분</t>
  </si>
  <si>
    <t>Room 명</t>
  </si>
  <si>
    <t>(영문명)</t>
  </si>
  <si>
    <t>주요 공정 No.</t>
  </si>
  <si>
    <t>세부 공정 No.</t>
  </si>
  <si>
    <t>주공정 구역</t>
  </si>
  <si>
    <t>배지조제실</t>
  </si>
  <si>
    <t>Media preparation</t>
  </si>
  <si>
    <t>P1. 배지 제조</t>
  </si>
  <si>
    <t>P1-1. 배지 원료 칭량</t>
  </si>
  <si>
    <t>P1-2. 배지 제조</t>
  </si>
  <si>
    <t>P1-3. 배지 여과</t>
  </si>
  <si>
    <t>버퍼조제실</t>
  </si>
  <si>
    <t>Buffer preparation</t>
  </si>
  <si>
    <t>P2. 버퍼 제조</t>
  </si>
  <si>
    <t>P2-1. 버퍼 원료 칭량</t>
  </si>
  <si>
    <t>P2-2. 버퍼 제조</t>
  </si>
  <si>
    <t>P2-3. 버퍼 여과</t>
  </si>
  <si>
    <t>Seed 접종실</t>
  </si>
  <si>
    <t>Inoculation</t>
  </si>
  <si>
    <t>P3. Seed 접종</t>
  </si>
  <si>
    <t>P3-1. Cell bank 접종</t>
  </si>
  <si>
    <t>P3-2. Flask 배양 1</t>
  </si>
  <si>
    <t>P3-2. Flask 배양 2</t>
  </si>
  <si>
    <t>배양실</t>
  </si>
  <si>
    <t xml:space="preserve">Cell Culture </t>
  </si>
  <si>
    <t>P4. 배양</t>
  </si>
  <si>
    <t>P4-1. 배양 N-4</t>
  </si>
  <si>
    <t>P4-2. 배양 N-3</t>
  </si>
  <si>
    <t>P4-3. 배양 N-2</t>
  </si>
  <si>
    <t>P4-4. 배양 N-1</t>
  </si>
  <si>
    <t>P4-5. 생산배양</t>
  </si>
  <si>
    <t>회수실</t>
  </si>
  <si>
    <t>Harvest</t>
  </si>
  <si>
    <t>P5. 회수</t>
  </si>
  <si>
    <t>P5-1. 연속원심분리</t>
  </si>
  <si>
    <t>P5-2. Depthfiltration</t>
  </si>
  <si>
    <t>정제실1</t>
  </si>
  <si>
    <t>Purification 1</t>
  </si>
  <si>
    <t>P6. 정제1</t>
  </si>
  <si>
    <t>P6-1. 크로마토그래피 1</t>
  </si>
  <si>
    <t>P6-2. Virus inactivation</t>
  </si>
  <si>
    <t>P6-3. 크로마토그래피 2</t>
  </si>
  <si>
    <t>P6-4. 크로마토그래피 3</t>
  </si>
  <si>
    <t>P6-5. Virus filtration</t>
  </si>
  <si>
    <t>정제실2</t>
  </si>
  <si>
    <t>Purification 2</t>
  </si>
  <si>
    <t>P7. 정제2</t>
  </si>
  <si>
    <t>P7-1. 농축 및 버퍼교환</t>
  </si>
  <si>
    <t>P7-2. Filtration</t>
  </si>
  <si>
    <t>P7-3. Bulk fill</t>
  </si>
  <si>
    <t>[건축물 구조]</t>
  </si>
  <si>
    <t>층수</t>
  </si>
  <si>
    <t>제공 면적 (m2)</t>
  </si>
  <si>
    <t>제공 규격 (가로*세로)</t>
  </si>
  <si>
    <t>인원 출입구</t>
  </si>
  <si>
    <t>자재 반입구</t>
  </si>
  <si>
    <t>폐기물 반출구</t>
  </si>
  <si>
    <t>3층</t>
  </si>
  <si>
    <t>[Room 요구 규격서]</t>
  </si>
  <si>
    <t>청정도</t>
  </si>
  <si>
    <t>목표 환기횟수
(ACH)</t>
  </si>
  <si>
    <t>Room 출입동선</t>
  </si>
  <si>
    <t>착용 복장</t>
  </si>
  <si>
    <t>면적 비율 (%)</t>
  </si>
  <si>
    <t>Grade C</t>
  </si>
  <si>
    <t>Both-way</t>
  </si>
  <si>
    <t>무진복</t>
  </si>
  <si>
    <t>P2-1. 버퍼 원료 칭량, P2-2. 버퍼 제조, P2-3. 버퍼 여과</t>
  </si>
  <si>
    <t>One-way</t>
  </si>
  <si>
    <t>P3-1. Cell bank 접종, P3-2. Flask 배양 1, P3-3. Flask 배양 2</t>
  </si>
  <si>
    <t>Seed 접종 전실</t>
  </si>
  <si>
    <t>Seed 접종 후실</t>
  </si>
  <si>
    <t>P4-1. 배양 N-4, P4-2. 배양 N-3, P4-3. 배양 N-2, P4-4. 배양 N-1, P4-5. 생산배양</t>
  </si>
  <si>
    <t>배양실 전실(P)</t>
  </si>
  <si>
    <t xml:space="preserve">PAL-in Cell Culture </t>
  </si>
  <si>
    <t>배양실 전실(M)</t>
  </si>
  <si>
    <t xml:space="preserve">MAL-in Cell Culture </t>
  </si>
  <si>
    <t>배양실 후실(P)</t>
  </si>
  <si>
    <t xml:space="preserve">PAL-out Cell Culture </t>
  </si>
  <si>
    <t>배양실 후실(M)</t>
  </si>
  <si>
    <t xml:space="preserve">MAL-out Cell Culture </t>
  </si>
  <si>
    <t>P5-1. 연속원심분리, P5-2. Depthfiltration</t>
  </si>
  <si>
    <t>회수실 전실(P)</t>
  </si>
  <si>
    <t>PAL-in Harvest</t>
  </si>
  <si>
    <t>회수실 전실(M)</t>
  </si>
  <si>
    <t>MAL-in Harvest</t>
  </si>
  <si>
    <t>회수실 후실(P)</t>
  </si>
  <si>
    <t>PAL-out Harvest</t>
  </si>
  <si>
    <t>회수실 후실(M)</t>
  </si>
  <si>
    <t>MAL-out Harvest</t>
  </si>
  <si>
    <t>P6-1. 크로마토그래피 1, P6-2. Virus inactivation, P6-3. 크로마토그래피 2, P6-4. 크로마토그래피 3, P6-5. Virus filtration</t>
  </si>
  <si>
    <t>정제실1 전실(P)</t>
  </si>
  <si>
    <t>PAL-in Purification 1</t>
  </si>
  <si>
    <t>정제실1 전실(M)</t>
  </si>
  <si>
    <t>MAL-in Purification 1</t>
  </si>
  <si>
    <t>정제실1 후실(P)</t>
  </si>
  <si>
    <t>PAL-out Purification 1</t>
  </si>
  <si>
    <t>정제실1 후실(M)</t>
  </si>
  <si>
    <t>MAL-out Purification 1</t>
  </si>
  <si>
    <t>P7-1. 농축 및 버퍼교환, P7-2. Filtration, P7-3. Bulk fill</t>
  </si>
  <si>
    <t>공정 준비실</t>
  </si>
  <si>
    <t>Preparation</t>
  </si>
  <si>
    <t>착의실</t>
  </si>
  <si>
    <t>Gowning</t>
  </si>
  <si>
    <t>공급복도</t>
  </si>
  <si>
    <t>Supply corridor</t>
  </si>
  <si>
    <t>리턴복도</t>
  </si>
  <si>
    <t>Return corridor</t>
  </si>
  <si>
    <t>Grade D</t>
  </si>
  <si>
    <t>스크럽</t>
  </si>
  <si>
    <t>세척실</t>
  </si>
  <si>
    <t>Washing</t>
  </si>
  <si>
    <t>보조 구역</t>
  </si>
  <si>
    <t>자재 보관실</t>
  </si>
  <si>
    <t>Material storage</t>
  </si>
  <si>
    <t>DS 보관실</t>
  </si>
  <si>
    <t>DS storage</t>
  </si>
  <si>
    <t>IPC 실</t>
  </si>
  <si>
    <t>IPC</t>
  </si>
  <si>
    <t>세포주 보관실</t>
  </si>
  <si>
    <t>Cell bank storage</t>
  </si>
  <si>
    <t>복도</t>
  </si>
  <si>
    <t>Corridor</t>
  </si>
  <si>
    <t>자재반입실</t>
  </si>
  <si>
    <t>Material-in</t>
  </si>
  <si>
    <t>CNC</t>
  </si>
  <si>
    <t>폐기물반출실</t>
  </si>
  <si>
    <t>Waste-out</t>
  </si>
  <si>
    <t>갱의실 (여)</t>
  </si>
  <si>
    <t>Gowning Female</t>
  </si>
  <si>
    <t>갱의실 (남)</t>
  </si>
  <si>
    <t>Gowning Male</t>
  </si>
  <si>
    <t>CIP 공급실</t>
  </si>
  <si>
    <t>CIP supply</t>
  </si>
  <si>
    <t xml:space="preserve">NC </t>
  </si>
  <si>
    <t>Not applicable</t>
  </si>
  <si>
    <t>일상복</t>
  </si>
  <si>
    <t>모니터링실</t>
  </si>
  <si>
    <t>Monitoring</t>
  </si>
  <si>
    <t>NC 구역</t>
  </si>
  <si>
    <t>화장실 (여)</t>
  </si>
  <si>
    <t>Toilet (Female)</t>
  </si>
  <si>
    <t>화장실 (남)</t>
  </si>
  <si>
    <t>Toilet (Male)</t>
  </si>
  <si>
    <t>로비</t>
  </si>
  <si>
    <t>Lobby</t>
  </si>
  <si>
    <t>관람복도</t>
  </si>
  <si>
    <t>Corridor visitor</t>
  </si>
  <si>
    <t>합계 (목표=100)</t>
  </si>
  <si>
    <t>[제조 장비 규격서]</t>
  </si>
  <si>
    <t>제조 장비</t>
  </si>
  <si>
    <t>규격 (W*D*H mm)</t>
  </si>
  <si>
    <t>중량 (kg)</t>
  </si>
  <si>
    <t>최대 운영 중량 (kg)</t>
  </si>
  <si>
    <t>배지 조제실</t>
  </si>
  <si>
    <t>Weigh booth</t>
  </si>
  <si>
    <t>3500*3000*3000</t>
  </si>
  <si>
    <t xml:space="preserve">Mixing Tank-1 100L </t>
  </si>
  <si>
    <t>2000*2000*2000</t>
  </si>
  <si>
    <t xml:space="preserve">Mixing Tank-2 500L </t>
  </si>
  <si>
    <t>2500*2000*3000</t>
  </si>
  <si>
    <t>Mixing Tank-3 2000L</t>
  </si>
  <si>
    <t>3000*2500*4000</t>
  </si>
  <si>
    <t>Mixing Tank-4 10000L</t>
  </si>
  <si>
    <t>4000*3000*5000</t>
  </si>
  <si>
    <t>버퍼 조제실</t>
  </si>
  <si>
    <t>Mixing Tank-5 500L</t>
  </si>
  <si>
    <t>Mixing Tank-6 2000L</t>
  </si>
  <si>
    <t>Mixing Tank-7 4000L</t>
  </si>
  <si>
    <t>3500*2500*5000</t>
  </si>
  <si>
    <t>Mixing Tank-8 10000L</t>
  </si>
  <si>
    <t>Isolator</t>
  </si>
  <si>
    <t>4000*2000*3000</t>
  </si>
  <si>
    <t>Centrifuge</t>
  </si>
  <si>
    <t>1000*600*500</t>
  </si>
  <si>
    <t>Incubator</t>
  </si>
  <si>
    <t>1200*800*600</t>
  </si>
  <si>
    <t>P3-2. Flask 배양 1, P3-2. Flask 배양 2</t>
  </si>
  <si>
    <t>Cleanbench</t>
  </si>
  <si>
    <t>2000*800*2000</t>
  </si>
  <si>
    <t>Wave Reactor 20L</t>
  </si>
  <si>
    <t>1200*600*800</t>
  </si>
  <si>
    <t>BioReactor 100L</t>
  </si>
  <si>
    <t>2000*2000*2500</t>
  </si>
  <si>
    <t>BioReactor 500L</t>
  </si>
  <si>
    <t>2500*2000*3500</t>
  </si>
  <si>
    <t>BioReactor 2000L</t>
  </si>
  <si>
    <t>3000*2500*4500</t>
  </si>
  <si>
    <t>BioReactor 10000L</t>
  </si>
  <si>
    <t>4000*3000*5500</t>
  </si>
  <si>
    <t>Storage tank-1 2000L</t>
  </si>
  <si>
    <t>Continuous centrifuge</t>
  </si>
  <si>
    <t>3000*3000*3000</t>
  </si>
  <si>
    <t>Depth filter system *2</t>
  </si>
  <si>
    <t>2000*600*1800</t>
  </si>
  <si>
    <t>Storage tank-2 10000L</t>
  </si>
  <si>
    <t>3000*3000*5000</t>
  </si>
  <si>
    <t>Chromatography system 1</t>
  </si>
  <si>
    <t>2000*1200*2000</t>
  </si>
  <si>
    <t>Column 1500mm</t>
  </si>
  <si>
    <t>Storage tank-3 4000L</t>
  </si>
  <si>
    <t>Storage tank-4 3000L</t>
  </si>
  <si>
    <t>P6-1. 크로마토그래피 1, P6-3. 크로마토그래피 2, P6-4. 크로마토그래피 3</t>
  </si>
  <si>
    <t>Buffer tank-1 2000L</t>
  </si>
  <si>
    <t>Buffer tank-2 2000L</t>
  </si>
  <si>
    <t>Buffer tank-3 2000L</t>
  </si>
  <si>
    <t>Buffer tank-4 4000L</t>
  </si>
  <si>
    <t>Buffer tank-5 4000L</t>
  </si>
  <si>
    <t>Buffer tank-6 4000L</t>
  </si>
  <si>
    <t>Reactor 5000L</t>
  </si>
  <si>
    <t>3000*2500*5000</t>
  </si>
  <si>
    <t>Acid tank 200L</t>
  </si>
  <si>
    <t>Base tank 200L</t>
  </si>
  <si>
    <t>Depth filter system</t>
  </si>
  <si>
    <t>Storage tank-5 5000L</t>
  </si>
  <si>
    <t>Chromatography system 2</t>
  </si>
  <si>
    <t>Column 1000mm</t>
  </si>
  <si>
    <t>Storage tank-6 8000L</t>
  </si>
  <si>
    <t>3500*3000*5500</t>
  </si>
  <si>
    <t>Chromatography system 3</t>
  </si>
  <si>
    <t>Column 800mm</t>
  </si>
  <si>
    <t>Storage tank-7 2000L</t>
  </si>
  <si>
    <t>Nano filtration system</t>
  </si>
  <si>
    <t>2000*800*1500</t>
  </si>
  <si>
    <t>Storage tank-8 2000L</t>
  </si>
  <si>
    <t>TFF system</t>
  </si>
  <si>
    <t>2500*2000*2500</t>
  </si>
  <si>
    <t>Holding tank 500L</t>
  </si>
  <si>
    <t>Buffer tank-7 5000L</t>
  </si>
  <si>
    <t>Storage tank-9 500L</t>
  </si>
  <si>
    <t>Filtration system</t>
  </si>
  <si>
    <t>Bulk fill system</t>
  </si>
  <si>
    <t>Cleanbooth</t>
  </si>
  <si>
    <t>3000*2500*3000</t>
  </si>
  <si>
    <t>Autoclave</t>
  </si>
  <si>
    <t>COP system</t>
  </si>
  <si>
    <t>Deep freezer 1</t>
  </si>
  <si>
    <t>1200*1000*2000</t>
  </si>
  <si>
    <t>Deep freezer 2</t>
  </si>
  <si>
    <t>Deep freezer 3</t>
  </si>
  <si>
    <t>Deep freezer 4</t>
  </si>
  <si>
    <t xml:space="preserve">Deep freezer </t>
  </si>
  <si>
    <t>900*1000*2000</t>
  </si>
  <si>
    <t>Freezer</t>
  </si>
  <si>
    <t>Refrigerator</t>
  </si>
  <si>
    <t>Cell tank (nitrogen) 1</t>
  </si>
  <si>
    <t>1000*1000*1500</t>
  </si>
  <si>
    <t>Cell tank (nitrogen) 2</t>
  </si>
  <si>
    <t>CIP station</t>
  </si>
  <si>
    <t>5000*2000*4000</t>
  </si>
  <si>
    <t>정제실2 전실</t>
    <phoneticPr fontId="2" type="noConversion"/>
  </si>
  <si>
    <t>정제실2 후실</t>
    <phoneticPr fontId="2" type="noConversion"/>
  </si>
  <si>
    <t>AL-out Purification 2</t>
    <phoneticPr fontId="2" type="noConversion"/>
  </si>
  <si>
    <t>AL-in Purification 2</t>
    <phoneticPr fontId="2" type="noConversion"/>
  </si>
  <si>
    <t>AL-in Inoculation</t>
    <phoneticPr fontId="2" type="noConversion"/>
  </si>
  <si>
    <t>AL-out Inoculation</t>
    <phoneticPr fontId="2" type="noConversion"/>
  </si>
  <si>
    <t>배지 및 버퍼조제실</t>
    <phoneticPr fontId="2" type="noConversion"/>
  </si>
  <si>
    <t>65000mm * 38460mm</t>
    <phoneticPr fontId="2" type="noConversion"/>
  </si>
  <si>
    <t>9시 방향</t>
    <phoneticPr fontId="2" type="noConversion"/>
  </si>
  <si>
    <t>3시 방향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</si>
</sst>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</font>
    <font>
      <sz val="11"/>
      <color theme="1"/>
      <name val="Calibri"/>
      <family val="2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/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4" fillId="2" borderId="0" xfId="1" applyFont="1" applyFill="1" applyAlignment="1">
      <alignment vertical="center"/>
    </xf>
    <xf numFmtId="49" fontId="3" fillId="3" borderId="0" xfId="1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3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vertical="center"/>
    </xf>
    <xf numFmtId="0" fontId="3" fillId="0" borderId="0" xfId="1" applyFont="1" applyAlignment="1">
      <alignment horizontal="left" vertical="center"/>
    </xf>
    <xf numFmtId="0" fontId="3" fillId="3" borderId="0" xfId="1" applyFont="1" applyFill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left" vertical="center"/>
    </xf>
    <xf numFmtId="0" fontId="3" fillId="3" borderId="5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left" vertical="center"/>
    </xf>
    <xf numFmtId="0" fontId="3" fillId="3" borderId="8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 wrapText="1"/>
    </xf>
    <xf numFmtId="0" fontId="3" fillId="3" borderId="5" xfId="1" applyFont="1" applyFill="1" applyBorder="1" applyAlignment="1">
      <alignment horizontal="left" vertical="center" wrapText="1"/>
    </xf>
    <xf numFmtId="0" fontId="3" fillId="3" borderId="8" xfId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6" fillId="0" borderId="0" xfId="0" applyFont="1"/>
    <xf numFmtId="0" fontId="3" fillId="3" borderId="0" xfId="0" applyFont="1" applyFill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6"/>
  <sheetViews>
    <sheetView workbookViewId="0">
      <selection activeCell="D5" sqref="D5"/>
    </sheetView>
  </sheetViews>
  <sheetFormatPr defaultRowHeight="14.5" x14ac:dyDescent="0.45"/>
  <cols>
    <col min="1" max="1" width="2.4140625" style="4" customWidth="1"/>
    <col min="2" max="2" width="10" style="3" customWidth="1"/>
    <col min="3" max="3" width="18.83203125" style="3" bestFit="1" customWidth="1"/>
    <col min="4" max="4" width="21" style="4" bestFit="1" customWidth="1"/>
    <col min="5" max="5" width="16.4140625" style="11" customWidth="1"/>
    <col min="6" max="6" width="19.33203125" style="11" customWidth="1"/>
    <col min="7" max="7" width="8.6640625" style="4" customWidth="1"/>
    <col min="8" max="16384" width="8.6640625" style="4"/>
  </cols>
  <sheetData>
    <row r="1" spans="2:9" x14ac:dyDescent="0.45">
      <c r="E1" s="4"/>
      <c r="F1" s="4"/>
      <c r="I1" s="3"/>
    </row>
    <row r="2" spans="2:9" ht="17.5" customHeight="1" x14ac:dyDescent="0.45">
      <c r="B2" s="5" t="s">
        <v>0</v>
      </c>
      <c r="E2" s="4"/>
      <c r="F2" s="4"/>
      <c r="I2" s="3"/>
    </row>
    <row r="3" spans="2:9" x14ac:dyDescent="0.45">
      <c r="B3" s="1" t="s">
        <v>1</v>
      </c>
      <c r="C3" s="1" t="s">
        <v>2</v>
      </c>
      <c r="D3" s="1" t="s">
        <v>3</v>
      </c>
      <c r="E3" s="1" t="s">
        <v>4</v>
      </c>
      <c r="F3" s="6" t="s">
        <v>5</v>
      </c>
      <c r="G3" s="1" t="s">
        <v>6</v>
      </c>
      <c r="H3" s="8"/>
      <c r="I3" s="3"/>
    </row>
    <row r="4" spans="2:9" x14ac:dyDescent="0.45">
      <c r="B4" s="18" t="s">
        <v>7</v>
      </c>
      <c r="C4" s="18" t="s">
        <v>8</v>
      </c>
      <c r="D4" s="18" t="s">
        <v>9</v>
      </c>
      <c r="E4" s="18" t="s">
        <v>10</v>
      </c>
      <c r="F4" s="18" t="s">
        <v>11</v>
      </c>
      <c r="G4" s="18" t="s">
        <v>12</v>
      </c>
      <c r="H4" s="3"/>
      <c r="I4" s="3"/>
    </row>
    <row r="5" spans="2:9" x14ac:dyDescent="0.45">
      <c r="D5" s="3"/>
    </row>
    <row r="6" spans="2:9" ht="17.5" customHeight="1" x14ac:dyDescent="0.45">
      <c r="B6" s="5" t="s">
        <v>13</v>
      </c>
    </row>
    <row r="7" spans="2:9" s="3" customFormat="1" x14ac:dyDescent="0.45"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</row>
    <row r="8" spans="2:9" x14ac:dyDescent="0.45">
      <c r="B8" s="13" t="s">
        <v>19</v>
      </c>
      <c r="C8" s="14" t="s">
        <v>20</v>
      </c>
      <c r="D8" s="14" t="s">
        <v>21</v>
      </c>
      <c r="E8" s="15" t="s">
        <v>22</v>
      </c>
      <c r="F8" s="16" t="s">
        <v>23</v>
      </c>
    </row>
    <row r="9" spans="2:9" x14ac:dyDescent="0.45">
      <c r="B9" s="17" t="s">
        <v>19</v>
      </c>
      <c r="C9" s="18" t="s">
        <v>20</v>
      </c>
      <c r="D9" s="18" t="s">
        <v>21</v>
      </c>
      <c r="E9" s="19" t="s">
        <v>22</v>
      </c>
      <c r="F9" s="20" t="s">
        <v>24</v>
      </c>
    </row>
    <row r="10" spans="2:9" x14ac:dyDescent="0.45">
      <c r="B10" s="21" t="s">
        <v>19</v>
      </c>
      <c r="C10" s="22" t="s">
        <v>20</v>
      </c>
      <c r="D10" s="22" t="s">
        <v>21</v>
      </c>
      <c r="E10" s="23" t="s">
        <v>22</v>
      </c>
      <c r="F10" s="24" t="s">
        <v>25</v>
      </c>
    </row>
    <row r="11" spans="2:9" x14ac:dyDescent="0.45">
      <c r="B11" s="13" t="s">
        <v>19</v>
      </c>
      <c r="C11" s="14" t="s">
        <v>26</v>
      </c>
      <c r="D11" s="14" t="s">
        <v>27</v>
      </c>
      <c r="E11" s="15" t="s">
        <v>28</v>
      </c>
      <c r="F11" s="16" t="s">
        <v>29</v>
      </c>
    </row>
    <row r="12" spans="2:9" x14ac:dyDescent="0.45">
      <c r="B12" s="17" t="s">
        <v>19</v>
      </c>
      <c r="C12" s="18" t="s">
        <v>26</v>
      </c>
      <c r="D12" s="18" t="s">
        <v>27</v>
      </c>
      <c r="E12" s="19" t="s">
        <v>28</v>
      </c>
      <c r="F12" s="20" t="s">
        <v>30</v>
      </c>
    </row>
    <row r="13" spans="2:9" x14ac:dyDescent="0.45">
      <c r="B13" s="21" t="s">
        <v>19</v>
      </c>
      <c r="C13" s="22" t="s">
        <v>26</v>
      </c>
      <c r="D13" s="22" t="s">
        <v>27</v>
      </c>
      <c r="E13" s="23" t="s">
        <v>28</v>
      </c>
      <c r="F13" s="24" t="s">
        <v>31</v>
      </c>
    </row>
    <row r="14" spans="2:9" x14ac:dyDescent="0.45">
      <c r="B14" s="13" t="s">
        <v>19</v>
      </c>
      <c r="C14" s="14" t="s">
        <v>32</v>
      </c>
      <c r="D14" s="14" t="s">
        <v>33</v>
      </c>
      <c r="E14" s="15" t="s">
        <v>34</v>
      </c>
      <c r="F14" s="16" t="s">
        <v>35</v>
      </c>
    </row>
    <row r="15" spans="2:9" x14ac:dyDescent="0.45">
      <c r="B15" s="17" t="s">
        <v>19</v>
      </c>
      <c r="C15" s="18" t="s">
        <v>32</v>
      </c>
      <c r="D15" s="18" t="s">
        <v>33</v>
      </c>
      <c r="E15" s="19" t="s">
        <v>34</v>
      </c>
      <c r="F15" s="20" t="s">
        <v>36</v>
      </c>
    </row>
    <row r="16" spans="2:9" x14ac:dyDescent="0.45">
      <c r="B16" s="21" t="s">
        <v>19</v>
      </c>
      <c r="C16" s="22" t="s">
        <v>32</v>
      </c>
      <c r="D16" s="22" t="s">
        <v>33</v>
      </c>
      <c r="E16" s="23" t="s">
        <v>34</v>
      </c>
      <c r="F16" s="24" t="s">
        <v>37</v>
      </c>
    </row>
    <row r="17" spans="2:6" x14ac:dyDescent="0.45">
      <c r="B17" s="13" t="s">
        <v>19</v>
      </c>
      <c r="C17" s="14" t="s">
        <v>38</v>
      </c>
      <c r="D17" s="14" t="s">
        <v>39</v>
      </c>
      <c r="E17" s="15" t="s">
        <v>40</v>
      </c>
      <c r="F17" s="25" t="s">
        <v>41</v>
      </c>
    </row>
    <row r="18" spans="2:6" x14ac:dyDescent="0.45">
      <c r="B18" s="17" t="s">
        <v>19</v>
      </c>
      <c r="C18" s="18" t="s">
        <v>38</v>
      </c>
      <c r="D18" s="18" t="s">
        <v>39</v>
      </c>
      <c r="E18" s="19" t="s">
        <v>40</v>
      </c>
      <c r="F18" s="26" t="s">
        <v>42</v>
      </c>
    </row>
    <row r="19" spans="2:6" x14ac:dyDescent="0.45">
      <c r="B19" s="17" t="s">
        <v>19</v>
      </c>
      <c r="C19" s="18" t="s">
        <v>38</v>
      </c>
      <c r="D19" s="18" t="s">
        <v>39</v>
      </c>
      <c r="E19" s="19" t="s">
        <v>40</v>
      </c>
      <c r="F19" s="26" t="s">
        <v>43</v>
      </c>
    </row>
    <row r="20" spans="2:6" x14ac:dyDescent="0.45">
      <c r="B20" s="17" t="s">
        <v>19</v>
      </c>
      <c r="C20" s="18" t="s">
        <v>38</v>
      </c>
      <c r="D20" s="18" t="s">
        <v>39</v>
      </c>
      <c r="E20" s="19" t="s">
        <v>40</v>
      </c>
      <c r="F20" s="26" t="s">
        <v>44</v>
      </c>
    </row>
    <row r="21" spans="2:6" x14ac:dyDescent="0.45">
      <c r="B21" s="21" t="s">
        <v>19</v>
      </c>
      <c r="C21" s="22" t="s">
        <v>38</v>
      </c>
      <c r="D21" s="22" t="s">
        <v>39</v>
      </c>
      <c r="E21" s="23" t="s">
        <v>40</v>
      </c>
      <c r="F21" s="27" t="s">
        <v>45</v>
      </c>
    </row>
    <row r="22" spans="2:6" x14ac:dyDescent="0.45">
      <c r="B22" s="13" t="s">
        <v>19</v>
      </c>
      <c r="C22" s="14" t="s">
        <v>46</v>
      </c>
      <c r="D22" s="14" t="s">
        <v>47</v>
      </c>
      <c r="E22" s="15" t="s">
        <v>48</v>
      </c>
      <c r="F22" s="16" t="s">
        <v>49</v>
      </c>
    </row>
    <row r="23" spans="2:6" x14ac:dyDescent="0.45">
      <c r="B23" s="21" t="s">
        <v>19</v>
      </c>
      <c r="C23" s="22" t="s">
        <v>46</v>
      </c>
      <c r="D23" s="22" t="s">
        <v>47</v>
      </c>
      <c r="E23" s="23" t="s">
        <v>48</v>
      </c>
      <c r="F23" s="24" t="s">
        <v>50</v>
      </c>
    </row>
    <row r="24" spans="2:6" x14ac:dyDescent="0.45">
      <c r="B24" s="13" t="s">
        <v>19</v>
      </c>
      <c r="C24" s="14" t="s">
        <v>51</v>
      </c>
      <c r="D24" s="14" t="s">
        <v>52</v>
      </c>
      <c r="E24" s="15" t="s">
        <v>53</v>
      </c>
      <c r="F24" s="25" t="s">
        <v>54</v>
      </c>
    </row>
    <row r="25" spans="2:6" x14ac:dyDescent="0.45">
      <c r="B25" s="17" t="s">
        <v>19</v>
      </c>
      <c r="C25" s="18" t="s">
        <v>51</v>
      </c>
      <c r="D25" s="18" t="s">
        <v>52</v>
      </c>
      <c r="E25" s="19" t="s">
        <v>53</v>
      </c>
      <c r="F25" s="26" t="s">
        <v>55</v>
      </c>
    </row>
    <row r="26" spans="2:6" x14ac:dyDescent="0.45">
      <c r="B26" s="17" t="s">
        <v>19</v>
      </c>
      <c r="C26" s="18" t="s">
        <v>51</v>
      </c>
      <c r="D26" s="18" t="s">
        <v>52</v>
      </c>
      <c r="E26" s="19" t="s">
        <v>53</v>
      </c>
      <c r="F26" s="26" t="s">
        <v>56</v>
      </c>
    </row>
    <row r="27" spans="2:6" x14ac:dyDescent="0.45">
      <c r="B27" s="17" t="s">
        <v>19</v>
      </c>
      <c r="C27" s="18" t="s">
        <v>51</v>
      </c>
      <c r="D27" s="18" t="s">
        <v>52</v>
      </c>
      <c r="E27" s="19" t="s">
        <v>53</v>
      </c>
      <c r="F27" s="26" t="s">
        <v>57</v>
      </c>
    </row>
    <row r="28" spans="2:6" x14ac:dyDescent="0.45">
      <c r="B28" s="21" t="s">
        <v>19</v>
      </c>
      <c r="C28" s="22" t="s">
        <v>51</v>
      </c>
      <c r="D28" s="22" t="s">
        <v>52</v>
      </c>
      <c r="E28" s="23" t="s">
        <v>53</v>
      </c>
      <c r="F28" s="27" t="s">
        <v>58</v>
      </c>
    </row>
    <row r="29" spans="2:6" x14ac:dyDescent="0.45">
      <c r="B29" s="13" t="s">
        <v>19</v>
      </c>
      <c r="C29" s="14" t="s">
        <v>59</v>
      </c>
      <c r="D29" s="14" t="s">
        <v>60</v>
      </c>
      <c r="E29" s="15" t="s">
        <v>61</v>
      </c>
      <c r="F29" s="16" t="s">
        <v>62</v>
      </c>
    </row>
    <row r="30" spans="2:6" x14ac:dyDescent="0.45">
      <c r="B30" s="17" t="s">
        <v>19</v>
      </c>
      <c r="C30" s="18" t="s">
        <v>59</v>
      </c>
      <c r="D30" s="18" t="s">
        <v>60</v>
      </c>
      <c r="E30" s="19" t="s">
        <v>61</v>
      </c>
      <c r="F30" s="20" t="s">
        <v>63</v>
      </c>
    </row>
    <row r="31" spans="2:6" x14ac:dyDescent="0.45">
      <c r="B31" s="21" t="s">
        <v>19</v>
      </c>
      <c r="C31" s="22" t="s">
        <v>59</v>
      </c>
      <c r="D31" s="22" t="s">
        <v>60</v>
      </c>
      <c r="E31" s="23" t="s">
        <v>61</v>
      </c>
      <c r="F31" s="24" t="s">
        <v>64</v>
      </c>
    </row>
    <row r="32" spans="2:6" x14ac:dyDescent="0.45">
      <c r="B32" s="18"/>
      <c r="C32" s="18"/>
      <c r="D32" s="18"/>
      <c r="E32" s="19"/>
      <c r="F32" s="19"/>
    </row>
    <row r="33" spans="2:6" x14ac:dyDescent="0.45">
      <c r="B33" s="18"/>
      <c r="C33" s="18"/>
      <c r="D33" s="18"/>
      <c r="E33" s="19"/>
      <c r="F33" s="19"/>
    </row>
    <row r="34" spans="2:6" x14ac:dyDescent="0.45">
      <c r="B34" s="18"/>
      <c r="C34" s="18"/>
      <c r="D34" s="18"/>
      <c r="E34" s="19"/>
      <c r="F34" s="19"/>
    </row>
    <row r="35" spans="2:6" x14ac:dyDescent="0.45">
      <c r="B35" s="18"/>
      <c r="C35" s="18"/>
      <c r="D35" s="18"/>
      <c r="E35" s="19"/>
      <c r="F35" s="19"/>
    </row>
    <row r="36" spans="2:6" x14ac:dyDescent="0.45">
      <c r="B36" s="18"/>
      <c r="C36" s="18"/>
      <c r="D36" s="18"/>
      <c r="E36" s="19"/>
      <c r="F36" s="19"/>
    </row>
    <row r="37" spans="2:6" x14ac:dyDescent="0.45">
      <c r="B37" s="18"/>
      <c r="C37" s="18"/>
      <c r="D37" s="18"/>
      <c r="E37" s="19"/>
      <c r="F37" s="19"/>
    </row>
    <row r="38" spans="2:6" x14ac:dyDescent="0.45">
      <c r="B38" s="18"/>
      <c r="C38" s="18"/>
      <c r="D38" s="18"/>
      <c r="E38" s="19"/>
      <c r="F38" s="19"/>
    </row>
    <row r="39" spans="2:6" x14ac:dyDescent="0.45">
      <c r="B39" s="18"/>
      <c r="C39" s="18"/>
      <c r="D39" s="18"/>
      <c r="E39" s="19"/>
      <c r="F39" s="19"/>
    </row>
    <row r="40" spans="2:6" x14ac:dyDescent="0.45">
      <c r="B40" s="18"/>
      <c r="C40" s="18"/>
      <c r="D40" s="18"/>
      <c r="E40" s="19"/>
      <c r="F40" s="19"/>
    </row>
    <row r="41" spans="2:6" x14ac:dyDescent="0.45">
      <c r="B41" s="18"/>
      <c r="C41" s="18"/>
      <c r="D41" s="18"/>
      <c r="E41" s="19"/>
      <c r="F41" s="19"/>
    </row>
    <row r="42" spans="2:6" x14ac:dyDescent="0.45">
      <c r="B42" s="18"/>
      <c r="C42" s="18"/>
      <c r="D42" s="18"/>
      <c r="E42" s="19"/>
      <c r="F42" s="19"/>
    </row>
    <row r="43" spans="2:6" x14ac:dyDescent="0.45">
      <c r="B43" s="18"/>
      <c r="C43" s="18"/>
      <c r="D43" s="18"/>
      <c r="E43" s="19"/>
      <c r="F43" s="19"/>
    </row>
    <row r="44" spans="2:6" x14ac:dyDescent="0.45">
      <c r="B44" s="18"/>
      <c r="C44" s="18"/>
      <c r="D44" s="18"/>
      <c r="E44" s="19"/>
      <c r="F44" s="19"/>
    </row>
    <row r="45" spans="2:6" x14ac:dyDescent="0.45">
      <c r="B45" s="18"/>
      <c r="C45" s="18"/>
      <c r="D45" s="18"/>
      <c r="E45" s="19"/>
      <c r="F45" s="19"/>
    </row>
    <row r="46" spans="2:6" x14ac:dyDescent="0.45">
      <c r="B46" s="18"/>
      <c r="C46" s="18"/>
      <c r="D46" s="18"/>
      <c r="E46" s="19"/>
      <c r="F46" s="19"/>
    </row>
    <row r="47" spans="2:6" x14ac:dyDescent="0.45">
      <c r="B47" s="18"/>
      <c r="C47" s="18"/>
      <c r="D47" s="18"/>
      <c r="E47" s="19"/>
      <c r="F47" s="19"/>
    </row>
    <row r="48" spans="2:6" x14ac:dyDescent="0.45">
      <c r="B48" s="18"/>
      <c r="C48" s="18"/>
      <c r="D48" s="18"/>
      <c r="E48" s="19"/>
      <c r="F48" s="19"/>
    </row>
    <row r="49" spans="2:6" x14ac:dyDescent="0.45">
      <c r="B49" s="18"/>
      <c r="C49" s="18"/>
      <c r="D49" s="18"/>
      <c r="E49" s="19"/>
      <c r="F49" s="19"/>
    </row>
    <row r="50" spans="2:6" x14ac:dyDescent="0.45">
      <c r="B50" s="18"/>
      <c r="C50" s="18"/>
      <c r="D50" s="18"/>
      <c r="E50" s="19"/>
      <c r="F50" s="19"/>
    </row>
    <row r="51" spans="2:6" x14ac:dyDescent="0.45">
      <c r="B51" s="18"/>
      <c r="C51" s="18"/>
      <c r="D51" s="18"/>
      <c r="E51" s="19"/>
      <c r="F51" s="19"/>
    </row>
    <row r="52" spans="2:6" x14ac:dyDescent="0.45">
      <c r="B52" s="18"/>
      <c r="C52" s="18"/>
      <c r="D52" s="18"/>
      <c r="E52" s="19"/>
      <c r="F52" s="19"/>
    </row>
    <row r="53" spans="2:6" x14ac:dyDescent="0.45">
      <c r="B53" s="18"/>
      <c r="C53" s="18"/>
      <c r="D53" s="18"/>
      <c r="E53" s="19"/>
      <c r="F53" s="19"/>
    </row>
    <row r="54" spans="2:6" x14ac:dyDescent="0.45">
      <c r="B54" s="18"/>
      <c r="C54" s="18"/>
      <c r="D54" s="18"/>
      <c r="E54" s="19"/>
      <c r="F54" s="19"/>
    </row>
    <row r="55" spans="2:6" x14ac:dyDescent="0.45">
      <c r="B55" s="18"/>
      <c r="C55" s="18"/>
      <c r="D55" s="18"/>
      <c r="E55" s="19"/>
      <c r="F55" s="19"/>
    </row>
    <row r="56" spans="2:6" x14ac:dyDescent="0.45">
      <c r="B56" s="18"/>
      <c r="C56" s="18"/>
      <c r="D56" s="18"/>
      <c r="E56" s="19"/>
      <c r="F56" s="19"/>
    </row>
    <row r="57" spans="2:6" x14ac:dyDescent="0.45">
      <c r="B57" s="18"/>
      <c r="C57" s="18"/>
      <c r="D57" s="18"/>
      <c r="E57" s="19"/>
      <c r="F57" s="19"/>
    </row>
    <row r="58" spans="2:6" x14ac:dyDescent="0.45">
      <c r="D58" s="3"/>
    </row>
    <row r="59" spans="2:6" x14ac:dyDescent="0.45">
      <c r="D59" s="3"/>
    </row>
    <row r="60" spans="2:6" x14ac:dyDescent="0.45">
      <c r="D60" s="3"/>
    </row>
    <row r="61" spans="2:6" x14ac:dyDescent="0.45">
      <c r="D61" s="3"/>
    </row>
    <row r="62" spans="2:6" x14ac:dyDescent="0.45">
      <c r="D62" s="3"/>
    </row>
    <row r="63" spans="2:6" x14ac:dyDescent="0.45">
      <c r="D63" s="3"/>
    </row>
    <row r="64" spans="2:6" x14ac:dyDescent="0.45">
      <c r="D64" s="3"/>
    </row>
    <row r="65" spans="4:4" x14ac:dyDescent="0.45">
      <c r="D65" s="3"/>
    </row>
    <row r="66" spans="4:4" x14ac:dyDescent="0.45">
      <c r="D66" s="3"/>
    </row>
  </sheetData>
  <phoneticPr fontId="2" type="noConversion"/>
  <dataValidations count="8">
    <dataValidation type="list" allowBlank="1" showInputMessage="1" showErrorMessage="1" sqref="B58:B66" xr:uid="{00000000-0002-0000-0000-000000000000}">
      <formula1>"주공정 구역, 보조 구역, None"</formula1>
    </dataValidation>
    <dataValidation type="list" allowBlank="1" showInputMessage="1" showErrorMessage="1" sqref="B8:B57" xr:uid="{00000000-0002-0000-0000-000001000000}">
      <formula1>"주공정 구역, 보조 구역, NC 구역"</formula1>
    </dataValidation>
    <dataValidation type="list" allowBlank="1" showInputMessage="1" showErrorMessage="1" sqref="C58:F66" xr:uid="{00000000-0002-0000-0000-000002000000}">
      <formula1>"None"</formula1>
    </dataValidation>
    <dataValidation type="list" allowBlank="1" showInputMessage="1" showErrorMessage="1" sqref="F4" xr:uid="{00000000-0002-0000-0000-000003000000}">
      <formula1>"Multi-use, Single-use"</formula1>
    </dataValidation>
    <dataValidation type="list" allowBlank="1" showInputMessage="1" showErrorMessage="1" sqref="G4:H4" xr:uid="{00000000-0002-0000-0000-000004000000}">
      <formula1>"FDA, EMA, WHO, PMDA, NMPA, MHRA, MFDS"</formula1>
    </dataValidation>
    <dataValidation type="list" allowBlank="1" showInputMessage="1" showErrorMessage="1" sqref="D4" xr:uid="{00000000-0002-0000-0000-000005000000}">
      <formula1>"원료의약품 (DS), 완제의약품 (DP)"</formula1>
    </dataValidation>
    <dataValidation type="list" allowBlank="1" showInputMessage="1" showErrorMessage="1" sqref="E4" xr:uid="{00000000-0002-0000-0000-000006000000}">
      <formula1>"전용 시설, 다품목 시설"</formula1>
    </dataValidation>
    <dataValidation type="list" allowBlank="1" showInputMessage="1" showErrorMessage="1" sqref="B4" xr:uid="{00000000-0002-0000-0000-000007000000}">
      <formula1>"Therputics, Vaccines"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2"/>
  <sheetViews>
    <sheetView tabSelected="1" workbookViewId="0">
      <selection activeCell="J22" sqref="J22"/>
    </sheetView>
  </sheetViews>
  <sheetFormatPr defaultColWidth="14" defaultRowHeight="14.5" x14ac:dyDescent="0.45"/>
  <cols>
    <col min="1" max="1" width="2.4140625" style="4" customWidth="1"/>
    <col min="2" max="2" width="10" style="3" customWidth="1"/>
    <col min="3" max="3" width="18.83203125" style="3" bestFit="1" customWidth="1"/>
    <col min="4" max="4" width="21" style="4" bestFit="1" customWidth="1"/>
    <col min="5" max="5" width="10.25" style="4" customWidth="1"/>
    <col min="6" max="6" width="11.08203125" style="4" bestFit="1" customWidth="1"/>
    <col min="7" max="7" width="12.5" style="4" customWidth="1"/>
    <col min="8" max="8" width="10.33203125" style="4" customWidth="1"/>
    <col min="9" max="9" width="54.58203125" style="3" customWidth="1"/>
    <col min="10" max="10" width="10.75" style="4" customWidth="1"/>
    <col min="11" max="16384" width="14" style="4"/>
  </cols>
  <sheetData>
    <row r="2" spans="2:10" ht="17.5" customHeight="1" x14ac:dyDescent="0.45">
      <c r="B2" s="5" t="s">
        <v>65</v>
      </c>
    </row>
    <row r="3" spans="2:10" x14ac:dyDescent="0.45"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H3" s="8"/>
      <c r="I3" s="4"/>
    </row>
    <row r="4" spans="2:10" x14ac:dyDescent="0.45">
      <c r="B4" s="18" t="s">
        <v>72</v>
      </c>
      <c r="C4" s="18">
        <v>2500</v>
      </c>
      <c r="D4" s="7" t="s">
        <v>272</v>
      </c>
      <c r="E4" s="18" t="s">
        <v>273</v>
      </c>
      <c r="F4" s="18" t="s">
        <v>273</v>
      </c>
      <c r="G4" s="18" t="s">
        <v>274</v>
      </c>
      <c r="H4" s="3"/>
      <c r="I4" s="4"/>
    </row>
    <row r="5" spans="2:10" x14ac:dyDescent="0.45">
      <c r="D5" s="3"/>
      <c r="E5" s="3"/>
      <c r="F5" s="3"/>
      <c r="G5" s="3"/>
      <c r="H5" s="3"/>
    </row>
    <row r="6" spans="2:10" ht="17.5" customHeight="1" x14ac:dyDescent="0.45">
      <c r="B6" s="5" t="s">
        <v>73</v>
      </c>
    </row>
    <row r="7" spans="2:10" s="3" customFormat="1" ht="29" customHeight="1" x14ac:dyDescent="0.45">
      <c r="B7" s="1" t="s">
        <v>14</v>
      </c>
      <c r="C7" s="1" t="s">
        <v>15</v>
      </c>
      <c r="D7" s="1" t="s">
        <v>16</v>
      </c>
      <c r="E7" s="1" t="s">
        <v>74</v>
      </c>
      <c r="F7" s="2" t="s">
        <v>75</v>
      </c>
      <c r="G7" s="2" t="s">
        <v>76</v>
      </c>
      <c r="H7" s="2" t="s">
        <v>77</v>
      </c>
      <c r="I7" s="1" t="s">
        <v>18</v>
      </c>
      <c r="J7" s="28" t="s">
        <v>78</v>
      </c>
    </row>
    <row r="8" spans="2:10" x14ac:dyDescent="0.45">
      <c r="B8" s="18" t="s">
        <v>19</v>
      </c>
      <c r="C8" s="18" t="s">
        <v>271</v>
      </c>
      <c r="D8" s="18" t="s">
        <v>27</v>
      </c>
      <c r="E8" s="18" t="s">
        <v>79</v>
      </c>
      <c r="F8" s="18">
        <v>30</v>
      </c>
      <c r="G8" s="18" t="s">
        <v>80</v>
      </c>
      <c r="H8" s="18" t="s">
        <v>81</v>
      </c>
      <c r="I8" s="18" t="s">
        <v>82</v>
      </c>
      <c r="J8" s="30">
        <v>12</v>
      </c>
    </row>
    <row r="9" spans="2:10" x14ac:dyDescent="0.45">
      <c r="B9" s="18" t="s">
        <v>19</v>
      </c>
      <c r="C9" s="18" t="s">
        <v>32</v>
      </c>
      <c r="D9" s="18" t="s">
        <v>33</v>
      </c>
      <c r="E9" s="18" t="s">
        <v>79</v>
      </c>
      <c r="F9" s="18">
        <v>30</v>
      </c>
      <c r="G9" s="18" t="s">
        <v>83</v>
      </c>
      <c r="H9" s="18" t="s">
        <v>81</v>
      </c>
      <c r="I9" s="18" t="s">
        <v>84</v>
      </c>
      <c r="J9" s="30">
        <v>4</v>
      </c>
    </row>
    <row r="10" spans="2:10" x14ac:dyDescent="0.45">
      <c r="B10" s="18" t="s">
        <v>19</v>
      </c>
      <c r="C10" s="18" t="s">
        <v>85</v>
      </c>
      <c r="D10" s="18" t="s">
        <v>269</v>
      </c>
      <c r="E10" s="18" t="s">
        <v>79</v>
      </c>
      <c r="F10" s="18">
        <v>30</v>
      </c>
      <c r="G10" s="18" t="s">
        <v>83</v>
      </c>
      <c r="H10" s="18" t="s">
        <v>81</v>
      </c>
      <c r="I10" s="18"/>
      <c r="J10" s="30">
        <v>0.5</v>
      </c>
    </row>
    <row r="11" spans="2:10" x14ac:dyDescent="0.45">
      <c r="B11" s="18" t="s">
        <v>19</v>
      </c>
      <c r="C11" s="18" t="s">
        <v>86</v>
      </c>
      <c r="D11" s="18" t="s">
        <v>270</v>
      </c>
      <c r="E11" s="18" t="s">
        <v>79</v>
      </c>
      <c r="F11" s="18">
        <v>30</v>
      </c>
      <c r="G11" s="18" t="s">
        <v>83</v>
      </c>
      <c r="H11" s="18" t="s">
        <v>81</v>
      </c>
      <c r="I11" s="18"/>
      <c r="J11" s="30">
        <v>0.5</v>
      </c>
    </row>
    <row r="12" spans="2:10" x14ac:dyDescent="0.45">
      <c r="B12" s="18" t="s">
        <v>19</v>
      </c>
      <c r="C12" s="18" t="s">
        <v>38</v>
      </c>
      <c r="D12" s="18" t="s">
        <v>39</v>
      </c>
      <c r="E12" s="18" t="s">
        <v>79</v>
      </c>
      <c r="F12" s="18">
        <v>30</v>
      </c>
      <c r="G12" s="18" t="s">
        <v>83</v>
      </c>
      <c r="H12" s="18" t="s">
        <v>81</v>
      </c>
      <c r="I12" s="9" t="s">
        <v>87</v>
      </c>
      <c r="J12" s="30">
        <v>10</v>
      </c>
    </row>
    <row r="13" spans="2:10" x14ac:dyDescent="0.45">
      <c r="B13" s="18" t="s">
        <v>19</v>
      </c>
      <c r="C13" s="18" t="s">
        <v>88</v>
      </c>
      <c r="D13" s="18" t="s">
        <v>89</v>
      </c>
      <c r="E13" s="18" t="s">
        <v>79</v>
      </c>
      <c r="F13" s="18">
        <v>30</v>
      </c>
      <c r="G13" s="18" t="s">
        <v>83</v>
      </c>
      <c r="H13" s="18" t="s">
        <v>81</v>
      </c>
      <c r="I13" s="18"/>
      <c r="J13" s="30">
        <v>0.5</v>
      </c>
    </row>
    <row r="14" spans="2:10" x14ac:dyDescent="0.45">
      <c r="B14" s="18" t="s">
        <v>19</v>
      </c>
      <c r="C14" s="18" t="s">
        <v>90</v>
      </c>
      <c r="D14" s="18" t="s">
        <v>91</v>
      </c>
      <c r="E14" s="18" t="s">
        <v>79</v>
      </c>
      <c r="F14" s="18">
        <v>30</v>
      </c>
      <c r="G14" s="18" t="s">
        <v>83</v>
      </c>
      <c r="H14" s="18" t="s">
        <v>81</v>
      </c>
      <c r="I14" s="18"/>
      <c r="J14" s="30">
        <v>0.5</v>
      </c>
    </row>
    <row r="15" spans="2:10" x14ac:dyDescent="0.45">
      <c r="B15" s="18" t="s">
        <v>19</v>
      </c>
      <c r="C15" s="18" t="s">
        <v>92</v>
      </c>
      <c r="D15" s="18" t="s">
        <v>93</v>
      </c>
      <c r="E15" s="18" t="s">
        <v>79</v>
      </c>
      <c r="F15" s="18">
        <v>30</v>
      </c>
      <c r="G15" s="18" t="s">
        <v>83</v>
      </c>
      <c r="H15" s="18" t="s">
        <v>81</v>
      </c>
      <c r="I15" s="18"/>
      <c r="J15" s="30">
        <v>0.5</v>
      </c>
    </row>
    <row r="16" spans="2:10" x14ac:dyDescent="0.45">
      <c r="B16" s="18" t="s">
        <v>19</v>
      </c>
      <c r="C16" s="18" t="s">
        <v>94</v>
      </c>
      <c r="D16" s="18" t="s">
        <v>95</v>
      </c>
      <c r="E16" s="18" t="s">
        <v>79</v>
      </c>
      <c r="F16" s="18">
        <v>30</v>
      </c>
      <c r="G16" s="18" t="s">
        <v>83</v>
      </c>
      <c r="H16" s="18" t="s">
        <v>81</v>
      </c>
      <c r="I16" s="18"/>
      <c r="J16" s="30">
        <v>0.5</v>
      </c>
    </row>
    <row r="17" spans="2:10" x14ac:dyDescent="0.45">
      <c r="B17" s="18" t="s">
        <v>19</v>
      </c>
      <c r="C17" s="18" t="s">
        <v>46</v>
      </c>
      <c r="D17" s="18" t="s">
        <v>47</v>
      </c>
      <c r="E17" s="18" t="s">
        <v>79</v>
      </c>
      <c r="F17" s="18">
        <v>30</v>
      </c>
      <c r="G17" s="18" t="s">
        <v>83</v>
      </c>
      <c r="H17" s="18" t="s">
        <v>81</v>
      </c>
      <c r="I17" s="18" t="s">
        <v>96</v>
      </c>
      <c r="J17" s="30">
        <v>5</v>
      </c>
    </row>
    <row r="18" spans="2:10" x14ac:dyDescent="0.45">
      <c r="B18" s="18" t="s">
        <v>19</v>
      </c>
      <c r="C18" s="18" t="s">
        <v>97</v>
      </c>
      <c r="D18" s="18" t="s">
        <v>98</v>
      </c>
      <c r="E18" s="18" t="s">
        <v>79</v>
      </c>
      <c r="F18" s="18">
        <v>30</v>
      </c>
      <c r="G18" s="18" t="s">
        <v>83</v>
      </c>
      <c r="H18" s="18" t="s">
        <v>81</v>
      </c>
      <c r="I18" s="18"/>
      <c r="J18" s="30">
        <v>0.5</v>
      </c>
    </row>
    <row r="19" spans="2:10" x14ac:dyDescent="0.45">
      <c r="B19" s="18" t="s">
        <v>19</v>
      </c>
      <c r="C19" s="18" t="s">
        <v>99</v>
      </c>
      <c r="D19" s="18" t="s">
        <v>100</v>
      </c>
      <c r="E19" s="18" t="s">
        <v>79</v>
      </c>
      <c r="F19" s="18">
        <v>30</v>
      </c>
      <c r="G19" s="18" t="s">
        <v>83</v>
      </c>
      <c r="H19" s="18" t="s">
        <v>81</v>
      </c>
      <c r="I19" s="18"/>
      <c r="J19" s="30">
        <v>0.5</v>
      </c>
    </row>
    <row r="20" spans="2:10" x14ac:dyDescent="0.45">
      <c r="B20" s="18" t="s">
        <v>19</v>
      </c>
      <c r="C20" s="18" t="s">
        <v>101</v>
      </c>
      <c r="D20" s="18" t="s">
        <v>102</v>
      </c>
      <c r="E20" s="18" t="s">
        <v>79</v>
      </c>
      <c r="F20" s="18">
        <v>30</v>
      </c>
      <c r="G20" s="18" t="s">
        <v>83</v>
      </c>
      <c r="H20" s="18" t="s">
        <v>81</v>
      </c>
      <c r="I20" s="18"/>
      <c r="J20" s="30">
        <v>0.5</v>
      </c>
    </row>
    <row r="21" spans="2:10" x14ac:dyDescent="0.45">
      <c r="B21" s="18" t="s">
        <v>19</v>
      </c>
      <c r="C21" s="18" t="s">
        <v>103</v>
      </c>
      <c r="D21" s="18" t="s">
        <v>104</v>
      </c>
      <c r="E21" s="18" t="s">
        <v>79</v>
      </c>
      <c r="F21" s="18">
        <v>30</v>
      </c>
      <c r="G21" s="18" t="s">
        <v>83</v>
      </c>
      <c r="H21" s="18" t="s">
        <v>81</v>
      </c>
      <c r="I21" s="18"/>
      <c r="J21" s="30">
        <v>0.5</v>
      </c>
    </row>
    <row r="22" spans="2:10" ht="29" customHeight="1" x14ac:dyDescent="0.45">
      <c r="B22" s="18" t="s">
        <v>19</v>
      </c>
      <c r="C22" s="18" t="s">
        <v>51</v>
      </c>
      <c r="D22" s="18" t="s">
        <v>52</v>
      </c>
      <c r="E22" s="18" t="s">
        <v>79</v>
      </c>
      <c r="F22" s="18">
        <v>30</v>
      </c>
      <c r="G22" s="18" t="s">
        <v>83</v>
      </c>
      <c r="H22" s="18" t="s">
        <v>81</v>
      </c>
      <c r="I22" s="9" t="s">
        <v>105</v>
      </c>
      <c r="J22" s="30">
        <v>13</v>
      </c>
    </row>
    <row r="23" spans="2:10" x14ac:dyDescent="0.45">
      <c r="B23" s="18" t="s">
        <v>19</v>
      </c>
      <c r="C23" s="18" t="s">
        <v>106</v>
      </c>
      <c r="D23" s="18" t="s">
        <v>107</v>
      </c>
      <c r="E23" s="18" t="s">
        <v>79</v>
      </c>
      <c r="F23" s="18">
        <v>30</v>
      </c>
      <c r="G23" s="18" t="s">
        <v>83</v>
      </c>
      <c r="H23" s="18" t="s">
        <v>81</v>
      </c>
      <c r="I23" s="18"/>
      <c r="J23" s="30">
        <v>0.5</v>
      </c>
    </row>
    <row r="24" spans="2:10" x14ac:dyDescent="0.45">
      <c r="B24" s="18" t="s">
        <v>19</v>
      </c>
      <c r="C24" s="18" t="s">
        <v>108</v>
      </c>
      <c r="D24" s="18" t="s">
        <v>109</v>
      </c>
      <c r="E24" s="18" t="s">
        <v>79</v>
      </c>
      <c r="F24" s="18">
        <v>30</v>
      </c>
      <c r="G24" s="18" t="s">
        <v>83</v>
      </c>
      <c r="H24" s="18" t="s">
        <v>81</v>
      </c>
      <c r="I24" s="18"/>
      <c r="J24" s="30">
        <v>0.5</v>
      </c>
    </row>
    <row r="25" spans="2:10" x14ac:dyDescent="0.45">
      <c r="B25" s="18" t="s">
        <v>19</v>
      </c>
      <c r="C25" s="18" t="s">
        <v>110</v>
      </c>
      <c r="D25" s="18" t="s">
        <v>111</v>
      </c>
      <c r="E25" s="18" t="s">
        <v>79</v>
      </c>
      <c r="F25" s="18">
        <v>30</v>
      </c>
      <c r="G25" s="18" t="s">
        <v>83</v>
      </c>
      <c r="H25" s="18" t="s">
        <v>81</v>
      </c>
      <c r="I25" s="18"/>
      <c r="J25" s="30">
        <v>0.5</v>
      </c>
    </row>
    <row r="26" spans="2:10" x14ac:dyDescent="0.45">
      <c r="B26" s="18" t="s">
        <v>19</v>
      </c>
      <c r="C26" s="18" t="s">
        <v>112</v>
      </c>
      <c r="D26" s="18" t="s">
        <v>113</v>
      </c>
      <c r="E26" s="18" t="s">
        <v>79</v>
      </c>
      <c r="F26" s="18">
        <v>30</v>
      </c>
      <c r="G26" s="18" t="s">
        <v>83</v>
      </c>
      <c r="H26" s="18" t="s">
        <v>81</v>
      </c>
      <c r="I26" s="18"/>
      <c r="J26" s="30">
        <v>0.5</v>
      </c>
    </row>
    <row r="27" spans="2:10" x14ac:dyDescent="0.45">
      <c r="B27" s="18" t="s">
        <v>19</v>
      </c>
      <c r="C27" s="18" t="s">
        <v>59</v>
      </c>
      <c r="D27" s="18" t="s">
        <v>60</v>
      </c>
      <c r="E27" s="18" t="s">
        <v>79</v>
      </c>
      <c r="F27" s="18">
        <v>30</v>
      </c>
      <c r="G27" s="18" t="s">
        <v>83</v>
      </c>
      <c r="H27" s="18" t="s">
        <v>81</v>
      </c>
      <c r="I27" s="18" t="s">
        <v>114</v>
      </c>
      <c r="J27" s="30">
        <v>5</v>
      </c>
    </row>
    <row r="28" spans="2:10" x14ac:dyDescent="0.45">
      <c r="B28" s="18" t="s">
        <v>19</v>
      </c>
      <c r="C28" s="18" t="s">
        <v>265</v>
      </c>
      <c r="D28" s="18" t="s">
        <v>268</v>
      </c>
      <c r="E28" s="18" t="s">
        <v>79</v>
      </c>
      <c r="F28" s="18">
        <v>30</v>
      </c>
      <c r="G28" s="18" t="s">
        <v>83</v>
      </c>
      <c r="H28" s="18" t="s">
        <v>81</v>
      </c>
      <c r="I28" s="18"/>
      <c r="J28" s="30">
        <v>0.5</v>
      </c>
    </row>
    <row r="29" spans="2:10" x14ac:dyDescent="0.45">
      <c r="B29" s="18" t="s">
        <v>19</v>
      </c>
      <c r="C29" s="18" t="s">
        <v>266</v>
      </c>
      <c r="D29" s="18" t="s">
        <v>267</v>
      </c>
      <c r="E29" s="18" t="s">
        <v>79</v>
      </c>
      <c r="F29" s="18">
        <v>30</v>
      </c>
      <c r="G29" s="18" t="s">
        <v>83</v>
      </c>
      <c r="H29" s="18" t="s">
        <v>81</v>
      </c>
      <c r="I29" s="18"/>
      <c r="J29" s="30">
        <v>0.5</v>
      </c>
    </row>
    <row r="30" spans="2:10" x14ac:dyDescent="0.45">
      <c r="B30" s="18" t="s">
        <v>19</v>
      </c>
      <c r="C30" s="18" t="s">
        <v>115</v>
      </c>
      <c r="D30" s="18" t="s">
        <v>116</v>
      </c>
      <c r="E30" s="18" t="s">
        <v>79</v>
      </c>
      <c r="F30" s="18">
        <v>30</v>
      </c>
      <c r="G30" s="18" t="s">
        <v>80</v>
      </c>
      <c r="H30" s="18" t="s">
        <v>81</v>
      </c>
      <c r="I30" s="18"/>
      <c r="J30" s="30">
        <v>2.5</v>
      </c>
    </row>
    <row r="31" spans="2:10" x14ac:dyDescent="0.45">
      <c r="B31" s="18" t="s">
        <v>19</v>
      </c>
      <c r="C31" s="18" t="s">
        <v>117</v>
      </c>
      <c r="D31" s="18" t="s">
        <v>118</v>
      </c>
      <c r="E31" s="18" t="s">
        <v>79</v>
      </c>
      <c r="F31" s="18">
        <v>30</v>
      </c>
      <c r="G31" s="18" t="s">
        <v>80</v>
      </c>
      <c r="H31" s="18" t="s">
        <v>81</v>
      </c>
      <c r="I31" s="18"/>
      <c r="J31" s="30">
        <v>1</v>
      </c>
    </row>
    <row r="32" spans="2:10" x14ac:dyDescent="0.45">
      <c r="B32" s="18" t="s">
        <v>19</v>
      </c>
      <c r="C32" s="18" t="s">
        <v>119</v>
      </c>
      <c r="D32" s="18" t="s">
        <v>120</v>
      </c>
      <c r="E32" s="18" t="s">
        <v>79</v>
      </c>
      <c r="F32" s="18">
        <v>30</v>
      </c>
      <c r="G32" s="18" t="s">
        <v>80</v>
      </c>
      <c r="H32" s="18" t="s">
        <v>81</v>
      </c>
      <c r="I32" s="18"/>
      <c r="J32" s="30">
        <v>5</v>
      </c>
    </row>
    <row r="33" spans="2:10" x14ac:dyDescent="0.45">
      <c r="B33" s="18" t="s">
        <v>19</v>
      </c>
      <c r="C33" s="18" t="s">
        <v>121</v>
      </c>
      <c r="D33" s="18" t="s">
        <v>122</v>
      </c>
      <c r="E33" s="18" t="s">
        <v>123</v>
      </c>
      <c r="F33" s="18">
        <v>20</v>
      </c>
      <c r="G33" s="18" t="s">
        <v>80</v>
      </c>
      <c r="H33" s="18" t="s">
        <v>124</v>
      </c>
      <c r="I33" s="18"/>
      <c r="J33" s="30">
        <v>7</v>
      </c>
    </row>
    <row r="34" spans="2:10" x14ac:dyDescent="0.45">
      <c r="B34" s="18" t="s">
        <v>19</v>
      </c>
      <c r="C34" s="18" t="s">
        <v>125</v>
      </c>
      <c r="D34" s="18" t="s">
        <v>126</v>
      </c>
      <c r="E34" s="18" t="s">
        <v>123</v>
      </c>
      <c r="F34" s="18">
        <v>20</v>
      </c>
      <c r="G34" s="18" t="s">
        <v>80</v>
      </c>
      <c r="H34" s="18" t="s">
        <v>124</v>
      </c>
      <c r="I34" s="18"/>
      <c r="J34" s="30">
        <v>1.5</v>
      </c>
    </row>
    <row r="35" spans="2:10" x14ac:dyDescent="0.45">
      <c r="B35" s="18" t="s">
        <v>127</v>
      </c>
      <c r="C35" s="18" t="s">
        <v>128</v>
      </c>
      <c r="D35" s="18" t="s">
        <v>129</v>
      </c>
      <c r="E35" s="18" t="s">
        <v>123</v>
      </c>
      <c r="F35" s="18">
        <v>20</v>
      </c>
      <c r="G35" s="18" t="s">
        <v>80</v>
      </c>
      <c r="H35" s="18" t="s">
        <v>124</v>
      </c>
      <c r="I35" s="18"/>
      <c r="J35" s="30">
        <v>3</v>
      </c>
    </row>
    <row r="36" spans="2:10" x14ac:dyDescent="0.45">
      <c r="B36" s="18" t="s">
        <v>127</v>
      </c>
      <c r="C36" s="18" t="s">
        <v>130</v>
      </c>
      <c r="D36" s="18" t="s">
        <v>131</v>
      </c>
      <c r="E36" s="18" t="s">
        <v>123</v>
      </c>
      <c r="F36" s="18">
        <v>20</v>
      </c>
      <c r="G36" s="18" t="s">
        <v>80</v>
      </c>
      <c r="H36" s="18" t="s">
        <v>124</v>
      </c>
      <c r="I36" s="18"/>
      <c r="J36" s="30">
        <v>1.5</v>
      </c>
    </row>
    <row r="37" spans="2:10" x14ac:dyDescent="0.45">
      <c r="B37" s="18" t="s">
        <v>127</v>
      </c>
      <c r="C37" s="18" t="s">
        <v>132</v>
      </c>
      <c r="D37" s="18" t="s">
        <v>133</v>
      </c>
      <c r="E37" s="18" t="s">
        <v>123</v>
      </c>
      <c r="F37" s="18">
        <v>20</v>
      </c>
      <c r="G37" s="18" t="s">
        <v>80</v>
      </c>
      <c r="H37" s="18" t="s">
        <v>124</v>
      </c>
      <c r="I37" s="18"/>
      <c r="J37" s="30">
        <v>1.5</v>
      </c>
    </row>
    <row r="38" spans="2:10" x14ac:dyDescent="0.45">
      <c r="B38" s="18" t="s">
        <v>127</v>
      </c>
      <c r="C38" s="18" t="s">
        <v>134</v>
      </c>
      <c r="D38" s="18" t="s">
        <v>135</v>
      </c>
      <c r="E38" s="18" t="s">
        <v>123</v>
      </c>
      <c r="F38" s="18">
        <v>20</v>
      </c>
      <c r="G38" s="18" t="s">
        <v>80</v>
      </c>
      <c r="H38" s="18" t="s">
        <v>124</v>
      </c>
      <c r="I38" s="18"/>
      <c r="J38" s="30">
        <v>1.5</v>
      </c>
    </row>
    <row r="39" spans="2:10" x14ac:dyDescent="0.45">
      <c r="B39" s="18" t="s">
        <v>127</v>
      </c>
      <c r="C39" s="18" t="s">
        <v>136</v>
      </c>
      <c r="D39" s="18" t="s">
        <v>137</v>
      </c>
      <c r="E39" s="18" t="s">
        <v>123</v>
      </c>
      <c r="F39" s="18">
        <v>20</v>
      </c>
      <c r="G39" s="18" t="s">
        <v>80</v>
      </c>
      <c r="H39" s="18" t="s">
        <v>124</v>
      </c>
      <c r="I39" s="18"/>
      <c r="J39" s="30">
        <v>5</v>
      </c>
    </row>
    <row r="40" spans="2:10" x14ac:dyDescent="0.45">
      <c r="B40" s="18" t="s">
        <v>127</v>
      </c>
      <c r="C40" s="18" t="s">
        <v>138</v>
      </c>
      <c r="D40" s="18" t="s">
        <v>139</v>
      </c>
      <c r="E40" s="18" t="s">
        <v>140</v>
      </c>
      <c r="F40" s="18">
        <v>10</v>
      </c>
      <c r="G40" s="18" t="s">
        <v>80</v>
      </c>
      <c r="H40" s="18" t="s">
        <v>124</v>
      </c>
      <c r="I40" s="18"/>
      <c r="J40" s="30">
        <v>0.5</v>
      </c>
    </row>
    <row r="41" spans="2:10" x14ac:dyDescent="0.45">
      <c r="B41" s="18" t="s">
        <v>127</v>
      </c>
      <c r="C41" s="18" t="s">
        <v>141</v>
      </c>
      <c r="D41" s="18" t="s">
        <v>142</v>
      </c>
      <c r="E41" s="18" t="s">
        <v>140</v>
      </c>
      <c r="F41" s="18">
        <v>10</v>
      </c>
      <c r="G41" s="18" t="s">
        <v>80</v>
      </c>
      <c r="H41" s="18" t="s">
        <v>124</v>
      </c>
      <c r="I41" s="18"/>
      <c r="J41" s="30">
        <v>0.5</v>
      </c>
    </row>
    <row r="42" spans="2:10" x14ac:dyDescent="0.45">
      <c r="B42" s="18" t="s">
        <v>127</v>
      </c>
      <c r="C42" s="18" t="s">
        <v>143</v>
      </c>
      <c r="D42" s="18" t="s">
        <v>144</v>
      </c>
      <c r="E42" s="18" t="s">
        <v>140</v>
      </c>
      <c r="F42" s="18">
        <v>10</v>
      </c>
      <c r="G42" s="18" t="s">
        <v>80</v>
      </c>
      <c r="H42" s="18" t="s">
        <v>124</v>
      </c>
      <c r="I42" s="18"/>
      <c r="J42" s="30">
        <v>1</v>
      </c>
    </row>
    <row r="43" spans="2:10" x14ac:dyDescent="0.45">
      <c r="B43" s="18" t="s">
        <v>127</v>
      </c>
      <c r="C43" s="18" t="s">
        <v>145</v>
      </c>
      <c r="D43" s="18" t="s">
        <v>146</v>
      </c>
      <c r="E43" s="18" t="s">
        <v>140</v>
      </c>
      <c r="F43" s="18">
        <v>10</v>
      </c>
      <c r="G43" s="18" t="s">
        <v>80</v>
      </c>
      <c r="H43" s="18" t="s">
        <v>124</v>
      </c>
      <c r="I43" s="18"/>
      <c r="J43" s="30">
        <v>1</v>
      </c>
    </row>
    <row r="44" spans="2:10" x14ac:dyDescent="0.45">
      <c r="B44" s="18" t="s">
        <v>127</v>
      </c>
      <c r="C44" s="18" t="s">
        <v>152</v>
      </c>
      <c r="D44" s="18" t="s">
        <v>153</v>
      </c>
      <c r="E44" s="18" t="s">
        <v>149</v>
      </c>
      <c r="F44" s="18" t="s">
        <v>150</v>
      </c>
      <c r="G44" s="18" t="s">
        <v>80</v>
      </c>
      <c r="H44" s="18" t="s">
        <v>151</v>
      </c>
      <c r="I44" s="18"/>
      <c r="J44" s="30">
        <v>2</v>
      </c>
    </row>
    <row r="45" spans="2:10" x14ac:dyDescent="0.45">
      <c r="B45" s="18" t="s">
        <v>154</v>
      </c>
      <c r="C45" s="18" t="s">
        <v>155</v>
      </c>
      <c r="D45" s="18" t="s">
        <v>156</v>
      </c>
      <c r="E45" s="18" t="s">
        <v>149</v>
      </c>
      <c r="F45" s="18" t="s">
        <v>150</v>
      </c>
      <c r="G45" s="18" t="s">
        <v>80</v>
      </c>
      <c r="H45" s="18" t="s">
        <v>151</v>
      </c>
      <c r="I45" s="18"/>
      <c r="J45" s="30">
        <v>1</v>
      </c>
    </row>
    <row r="46" spans="2:10" x14ac:dyDescent="0.45">
      <c r="B46" s="18" t="s">
        <v>154</v>
      </c>
      <c r="C46" s="18" t="s">
        <v>157</v>
      </c>
      <c r="D46" s="18" t="s">
        <v>158</v>
      </c>
      <c r="E46" s="18" t="s">
        <v>149</v>
      </c>
      <c r="F46" s="18" t="s">
        <v>150</v>
      </c>
      <c r="G46" s="18" t="s">
        <v>80</v>
      </c>
      <c r="H46" s="18" t="s">
        <v>151</v>
      </c>
      <c r="I46" s="18"/>
      <c r="J46" s="30">
        <v>1</v>
      </c>
    </row>
    <row r="47" spans="2:10" x14ac:dyDescent="0.45">
      <c r="B47" s="18" t="s">
        <v>154</v>
      </c>
      <c r="C47" s="18" t="s">
        <v>159</v>
      </c>
      <c r="D47" s="18" t="s">
        <v>160</v>
      </c>
      <c r="E47" s="18" t="s">
        <v>149</v>
      </c>
      <c r="F47" s="18" t="s">
        <v>150</v>
      </c>
      <c r="G47" s="18" t="s">
        <v>80</v>
      </c>
      <c r="H47" s="18" t="s">
        <v>151</v>
      </c>
      <c r="I47" s="18"/>
      <c r="J47" s="30">
        <v>1.5</v>
      </c>
    </row>
    <row r="48" spans="2:10" x14ac:dyDescent="0.45">
      <c r="B48" s="18" t="s">
        <v>154</v>
      </c>
      <c r="C48" s="18" t="s">
        <v>161</v>
      </c>
      <c r="D48" s="18" t="s">
        <v>162</v>
      </c>
      <c r="E48" s="18" t="s">
        <v>149</v>
      </c>
      <c r="F48" s="18" t="s">
        <v>150</v>
      </c>
      <c r="G48" s="18" t="s">
        <v>80</v>
      </c>
      <c r="H48" s="18" t="s">
        <v>151</v>
      </c>
      <c r="I48" s="18"/>
      <c r="J48" s="30">
        <v>5</v>
      </c>
    </row>
    <row r="49" spans="2:10" x14ac:dyDescent="0.45">
      <c r="B49" s="18"/>
      <c r="C49" s="18"/>
      <c r="D49" s="18"/>
      <c r="E49" s="18"/>
      <c r="F49" s="18"/>
      <c r="G49" s="18"/>
      <c r="H49" s="18"/>
      <c r="I49" s="18"/>
      <c r="J49" s="30"/>
    </row>
    <row r="50" spans="2:10" x14ac:dyDescent="0.45">
      <c r="B50" s="18"/>
      <c r="C50" s="18"/>
      <c r="D50" s="18"/>
      <c r="E50" s="18"/>
      <c r="F50" s="18"/>
      <c r="G50" s="18"/>
      <c r="H50" s="18"/>
      <c r="I50" s="18"/>
      <c r="J50" s="30"/>
    </row>
    <row r="51" spans="2:10" x14ac:dyDescent="0.45">
      <c r="B51" s="18"/>
      <c r="C51" s="18"/>
      <c r="D51" s="18"/>
      <c r="E51" s="18"/>
      <c r="F51" s="18"/>
      <c r="G51" s="18"/>
      <c r="H51" s="18"/>
      <c r="I51" s="18"/>
      <c r="J51" s="30"/>
    </row>
    <row r="52" spans="2:10" x14ac:dyDescent="0.45">
      <c r="B52" s="18"/>
      <c r="C52" s="18"/>
      <c r="D52" s="18"/>
      <c r="E52" s="18"/>
      <c r="F52" s="18"/>
      <c r="G52" s="18"/>
      <c r="H52" s="18"/>
      <c r="I52" s="18"/>
      <c r="J52" s="30"/>
    </row>
    <row r="53" spans="2:10" x14ac:dyDescent="0.45">
      <c r="B53" s="18"/>
      <c r="C53" s="18"/>
      <c r="D53" s="18"/>
      <c r="E53" s="18"/>
      <c r="F53" s="18"/>
      <c r="G53" s="18"/>
      <c r="H53" s="18"/>
      <c r="I53" s="18"/>
      <c r="J53" s="30"/>
    </row>
    <row r="54" spans="2:10" x14ac:dyDescent="0.45">
      <c r="B54" s="18"/>
      <c r="C54" s="18"/>
      <c r="D54" s="18"/>
      <c r="E54" s="18"/>
      <c r="F54" s="18"/>
      <c r="G54" s="18"/>
      <c r="H54" s="18"/>
      <c r="I54" s="18"/>
      <c r="J54" s="30"/>
    </row>
    <row r="55" spans="2:10" x14ac:dyDescent="0.45">
      <c r="B55" s="18"/>
      <c r="C55" s="18"/>
      <c r="D55" s="18"/>
      <c r="E55" s="18"/>
      <c r="F55" s="18"/>
      <c r="G55" s="18"/>
      <c r="H55" s="18"/>
      <c r="I55" s="18"/>
      <c r="J55" s="30"/>
    </row>
    <row r="56" spans="2:10" x14ac:dyDescent="0.45">
      <c r="B56" s="18"/>
      <c r="C56" s="18"/>
      <c r="D56" s="18"/>
      <c r="E56" s="18"/>
      <c r="F56" s="18"/>
      <c r="G56" s="18"/>
      <c r="H56" s="18"/>
      <c r="I56" s="18"/>
      <c r="J56" s="30"/>
    </row>
    <row r="57" spans="2:10" x14ac:dyDescent="0.45">
      <c r="B57" s="18"/>
      <c r="C57" s="18"/>
      <c r="D57" s="18"/>
      <c r="E57" s="18"/>
      <c r="F57" s="18"/>
      <c r="G57" s="18"/>
      <c r="H57" s="18"/>
      <c r="I57" s="18"/>
      <c r="J57" s="30"/>
    </row>
    <row r="58" spans="2:10" x14ac:dyDescent="0.45">
      <c r="B58" s="18"/>
      <c r="C58" s="18"/>
      <c r="D58" s="18"/>
      <c r="E58" s="18"/>
      <c r="F58" s="18"/>
      <c r="G58" s="18"/>
      <c r="H58" s="18"/>
      <c r="I58" s="18"/>
      <c r="J58" s="30"/>
    </row>
    <row r="59" spans="2:10" x14ac:dyDescent="0.45">
      <c r="B59" s="18"/>
      <c r="C59" s="18"/>
      <c r="D59" s="18"/>
      <c r="E59" s="18"/>
      <c r="F59" s="18"/>
      <c r="G59" s="18"/>
      <c r="H59" s="18"/>
      <c r="I59" s="18"/>
      <c r="J59" s="30"/>
    </row>
    <row r="60" spans="2:10" x14ac:dyDescent="0.45">
      <c r="B60" s="18"/>
      <c r="C60" s="18"/>
      <c r="D60" s="18"/>
      <c r="E60" s="18"/>
      <c r="F60" s="18"/>
      <c r="G60" s="18"/>
      <c r="H60" s="18"/>
      <c r="I60" s="18"/>
      <c r="J60" s="30"/>
    </row>
    <row r="62" spans="2:10" ht="17" x14ac:dyDescent="0.45">
      <c r="I62" s="29" t="s">
        <v>163</v>
      </c>
      <c r="J62" s="29">
        <f>SUM(J8:J60)</f>
        <v>100</v>
      </c>
    </row>
  </sheetData>
  <phoneticPr fontId="2" type="noConversion"/>
  <dataValidations count="5">
    <dataValidation type="list" allowBlank="1" showInputMessage="1" showErrorMessage="1" sqref="H49:H60 H8:H43" xr:uid="{00000000-0002-0000-0100-000002000000}">
      <formula1>"무균복, 무진복, 스크럽, 사복"</formula1>
    </dataValidation>
    <dataValidation type="list" allowBlank="1" showInputMessage="1" showErrorMessage="1" sqref="B49:B60 B8:B48" xr:uid="{00000000-0002-0000-0100-000004000000}">
      <formula1>"주공정 구역, 보조 구역, NC 구역"</formula1>
    </dataValidation>
    <dataValidation type="list" allowBlank="1" showInputMessage="1" showErrorMessage="1" sqref="G49:G60 G8:G48" xr:uid="{00000000-0002-0000-0100-000005000000}">
      <formula1>"One-way, Both-way"</formula1>
    </dataValidation>
    <dataValidation type="list" allowBlank="1" showInputMessage="1" showErrorMessage="1" sqref="H44:H48" xr:uid="{00000000-0002-0000-0100-000006000000}">
      <formula1>"무균복, 무진복, 스크럽, 일상복"</formula1>
    </dataValidation>
    <dataValidation type="list" allowBlank="1" showInputMessage="1" showErrorMessage="1" sqref="E8:E48" xr:uid="{00000000-0002-0000-0100-000003000000}">
      <formula1>"Grade B, Grade C, Grade D, CNC, NC ,None"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5"/>
  <sheetViews>
    <sheetView topLeftCell="B1" workbookViewId="0">
      <selection activeCell="C14" sqref="C14"/>
    </sheetView>
  </sheetViews>
  <sheetFormatPr defaultRowHeight="14.5" x14ac:dyDescent="0.45"/>
  <cols>
    <col min="1" max="1" width="2.4140625" style="4" customWidth="1"/>
    <col min="2" max="2" width="10" style="3" customWidth="1"/>
    <col min="3" max="3" width="14.83203125" style="3" customWidth="1"/>
    <col min="4" max="4" width="14.83203125" style="4" bestFit="1" customWidth="1"/>
    <col min="5" max="5" width="19.83203125" style="4" customWidth="1"/>
    <col min="6" max="6" width="16.1640625" style="4" customWidth="1"/>
    <col min="7" max="7" width="8.6640625" style="3" customWidth="1"/>
    <col min="8" max="8" width="14.5" style="3" bestFit="1" customWidth="1"/>
    <col min="9" max="9" width="53" style="4" bestFit="1" customWidth="1"/>
    <col min="10" max="10" width="8.6640625" style="4" customWidth="1"/>
    <col min="11" max="16384" width="8.6640625" style="4"/>
  </cols>
  <sheetData>
    <row r="1" spans="2:9" x14ac:dyDescent="0.45">
      <c r="D1" s="3"/>
    </row>
    <row r="2" spans="2:9" ht="17.5" customHeight="1" x14ac:dyDescent="0.45">
      <c r="B2" s="5" t="s">
        <v>164</v>
      </c>
    </row>
    <row r="3" spans="2:9" s="3" customFormat="1" x14ac:dyDescent="0.45">
      <c r="B3" s="1" t="s">
        <v>14</v>
      </c>
      <c r="C3" s="1" t="s">
        <v>15</v>
      </c>
      <c r="D3" s="1" t="s">
        <v>16</v>
      </c>
      <c r="E3" s="1" t="s">
        <v>165</v>
      </c>
      <c r="F3" s="1" t="s">
        <v>166</v>
      </c>
      <c r="G3" s="1" t="s">
        <v>167</v>
      </c>
      <c r="H3" s="1" t="s">
        <v>168</v>
      </c>
      <c r="I3" s="1" t="s">
        <v>18</v>
      </c>
    </row>
    <row r="4" spans="2:9" x14ac:dyDescent="0.45">
      <c r="B4" s="18" t="s">
        <v>19</v>
      </c>
      <c r="C4" s="18" t="s">
        <v>169</v>
      </c>
      <c r="D4" s="18" t="s">
        <v>21</v>
      </c>
      <c r="E4" s="10" t="s">
        <v>170</v>
      </c>
      <c r="F4" s="10" t="s">
        <v>171</v>
      </c>
      <c r="G4" s="18">
        <v>500</v>
      </c>
      <c r="H4" s="18">
        <v>600</v>
      </c>
      <c r="I4" s="19" t="s">
        <v>23</v>
      </c>
    </row>
    <row r="5" spans="2:9" x14ac:dyDescent="0.45">
      <c r="B5" s="18" t="s">
        <v>19</v>
      </c>
      <c r="C5" s="18" t="s">
        <v>169</v>
      </c>
      <c r="D5" s="18" t="s">
        <v>21</v>
      </c>
      <c r="E5" s="10" t="s">
        <v>172</v>
      </c>
      <c r="F5" s="10" t="s">
        <v>173</v>
      </c>
      <c r="G5" s="18">
        <v>1000</v>
      </c>
      <c r="H5" s="18">
        <v>1100</v>
      </c>
      <c r="I5" s="19" t="s">
        <v>24</v>
      </c>
    </row>
    <row r="6" spans="2:9" x14ac:dyDescent="0.45">
      <c r="B6" s="18" t="s">
        <v>19</v>
      </c>
      <c r="C6" s="18" t="s">
        <v>169</v>
      </c>
      <c r="D6" s="18" t="s">
        <v>21</v>
      </c>
      <c r="E6" s="10" t="s">
        <v>174</v>
      </c>
      <c r="F6" s="10" t="s">
        <v>175</v>
      </c>
      <c r="G6" s="18">
        <v>1500</v>
      </c>
      <c r="H6" s="18">
        <v>2000</v>
      </c>
      <c r="I6" s="19" t="s">
        <v>24</v>
      </c>
    </row>
    <row r="7" spans="2:9" x14ac:dyDescent="0.45">
      <c r="B7" s="18" t="s">
        <v>19</v>
      </c>
      <c r="C7" s="18" t="s">
        <v>169</v>
      </c>
      <c r="D7" s="18" t="s">
        <v>21</v>
      </c>
      <c r="E7" s="10" t="s">
        <v>176</v>
      </c>
      <c r="F7" s="10" t="s">
        <v>177</v>
      </c>
      <c r="G7" s="18">
        <v>2000</v>
      </c>
      <c r="H7" s="18">
        <v>4000</v>
      </c>
      <c r="I7" s="19" t="s">
        <v>24</v>
      </c>
    </row>
    <row r="8" spans="2:9" x14ac:dyDescent="0.45">
      <c r="B8" s="18" t="s">
        <v>19</v>
      </c>
      <c r="C8" s="18" t="s">
        <v>169</v>
      </c>
      <c r="D8" s="18" t="s">
        <v>21</v>
      </c>
      <c r="E8" s="10" t="s">
        <v>178</v>
      </c>
      <c r="F8" s="10" t="s">
        <v>179</v>
      </c>
      <c r="G8" s="18">
        <v>3000</v>
      </c>
      <c r="H8" s="18">
        <v>13000</v>
      </c>
      <c r="I8" s="19" t="s">
        <v>24</v>
      </c>
    </row>
    <row r="9" spans="2:9" x14ac:dyDescent="0.45">
      <c r="B9" s="18" t="s">
        <v>19</v>
      </c>
      <c r="C9" s="18" t="s">
        <v>180</v>
      </c>
      <c r="D9" s="18" t="s">
        <v>27</v>
      </c>
      <c r="E9" s="10" t="s">
        <v>170</v>
      </c>
      <c r="F9" s="10" t="s">
        <v>171</v>
      </c>
      <c r="G9" s="18">
        <v>500</v>
      </c>
      <c r="H9" s="18">
        <v>600</v>
      </c>
      <c r="I9" s="19" t="s">
        <v>29</v>
      </c>
    </row>
    <row r="10" spans="2:9" x14ac:dyDescent="0.45">
      <c r="B10" s="18" t="s">
        <v>19</v>
      </c>
      <c r="C10" s="18" t="s">
        <v>180</v>
      </c>
      <c r="D10" s="18" t="s">
        <v>27</v>
      </c>
      <c r="E10" s="10" t="s">
        <v>181</v>
      </c>
      <c r="F10" s="10" t="s">
        <v>175</v>
      </c>
      <c r="G10" s="18">
        <v>1500</v>
      </c>
      <c r="H10" s="18">
        <v>2000</v>
      </c>
      <c r="I10" s="19" t="s">
        <v>30</v>
      </c>
    </row>
    <row r="11" spans="2:9" x14ac:dyDescent="0.45">
      <c r="B11" s="18" t="s">
        <v>19</v>
      </c>
      <c r="C11" s="18" t="s">
        <v>180</v>
      </c>
      <c r="D11" s="18" t="s">
        <v>27</v>
      </c>
      <c r="E11" s="10" t="s">
        <v>182</v>
      </c>
      <c r="F11" s="10" t="s">
        <v>177</v>
      </c>
      <c r="G11" s="18">
        <v>2000</v>
      </c>
      <c r="H11" s="18">
        <v>4000</v>
      </c>
      <c r="I11" s="19" t="s">
        <v>30</v>
      </c>
    </row>
    <row r="12" spans="2:9" x14ac:dyDescent="0.45">
      <c r="B12" s="18" t="s">
        <v>19</v>
      </c>
      <c r="C12" s="18" t="s">
        <v>180</v>
      </c>
      <c r="D12" s="18" t="s">
        <v>27</v>
      </c>
      <c r="E12" s="10" t="s">
        <v>183</v>
      </c>
      <c r="F12" s="10" t="s">
        <v>184</v>
      </c>
      <c r="G12" s="18">
        <v>2000</v>
      </c>
      <c r="H12" s="18">
        <v>6000</v>
      </c>
      <c r="I12" s="19" t="s">
        <v>30</v>
      </c>
    </row>
    <row r="13" spans="2:9" x14ac:dyDescent="0.45">
      <c r="B13" s="18" t="s">
        <v>19</v>
      </c>
      <c r="C13" s="18" t="s">
        <v>180</v>
      </c>
      <c r="D13" s="18" t="s">
        <v>27</v>
      </c>
      <c r="E13" s="10" t="s">
        <v>185</v>
      </c>
      <c r="F13" s="10" t="s">
        <v>179</v>
      </c>
      <c r="G13" s="18">
        <v>4000</v>
      </c>
      <c r="H13" s="18">
        <v>14000</v>
      </c>
      <c r="I13" s="19" t="s">
        <v>30</v>
      </c>
    </row>
    <row r="14" spans="2:9" x14ac:dyDescent="0.45">
      <c r="B14" s="18" t="s">
        <v>19</v>
      </c>
      <c r="C14" s="18" t="s">
        <v>32</v>
      </c>
      <c r="D14" s="18" t="s">
        <v>33</v>
      </c>
      <c r="E14" s="10" t="s">
        <v>186</v>
      </c>
      <c r="F14" s="10" t="s">
        <v>187</v>
      </c>
      <c r="G14" s="18">
        <v>1000</v>
      </c>
      <c r="H14" s="18">
        <v>1000</v>
      </c>
      <c r="I14" s="19" t="s">
        <v>35</v>
      </c>
    </row>
    <row r="15" spans="2:9" x14ac:dyDescent="0.45">
      <c r="B15" s="18" t="s">
        <v>19</v>
      </c>
      <c r="C15" s="18" t="s">
        <v>32</v>
      </c>
      <c r="D15" s="18" t="s">
        <v>33</v>
      </c>
      <c r="E15" s="10" t="s">
        <v>188</v>
      </c>
      <c r="F15" s="10" t="s">
        <v>189</v>
      </c>
      <c r="G15" s="18">
        <v>60</v>
      </c>
      <c r="H15" s="18">
        <v>60</v>
      </c>
      <c r="I15" s="19" t="s">
        <v>35</v>
      </c>
    </row>
    <row r="16" spans="2:9" x14ac:dyDescent="0.45">
      <c r="B16" s="18" t="s">
        <v>19</v>
      </c>
      <c r="C16" s="18" t="s">
        <v>32</v>
      </c>
      <c r="D16" s="18" t="s">
        <v>33</v>
      </c>
      <c r="E16" s="10" t="s">
        <v>190</v>
      </c>
      <c r="F16" s="10" t="s">
        <v>191</v>
      </c>
      <c r="G16" s="18">
        <v>150</v>
      </c>
      <c r="H16" s="18">
        <v>150</v>
      </c>
      <c r="I16" s="19" t="s">
        <v>192</v>
      </c>
    </row>
    <row r="17" spans="2:9" x14ac:dyDescent="0.45">
      <c r="B17" s="18" t="s">
        <v>19</v>
      </c>
      <c r="C17" s="18" t="s">
        <v>32</v>
      </c>
      <c r="D17" s="18" t="s">
        <v>33</v>
      </c>
      <c r="E17" s="10" t="s">
        <v>193</v>
      </c>
      <c r="F17" s="10" t="s">
        <v>194</v>
      </c>
      <c r="G17" s="18">
        <v>200</v>
      </c>
      <c r="H17" s="18">
        <v>200</v>
      </c>
      <c r="I17" s="19" t="s">
        <v>192</v>
      </c>
    </row>
    <row r="18" spans="2:9" x14ac:dyDescent="0.45">
      <c r="B18" s="18" t="s">
        <v>19</v>
      </c>
      <c r="C18" s="18" t="s">
        <v>38</v>
      </c>
      <c r="D18" s="18" t="s">
        <v>39</v>
      </c>
      <c r="E18" s="10" t="s">
        <v>195</v>
      </c>
      <c r="F18" s="10" t="s">
        <v>196</v>
      </c>
      <c r="G18" s="18">
        <v>200</v>
      </c>
      <c r="H18" s="18">
        <v>220</v>
      </c>
      <c r="I18" s="12" t="s">
        <v>41</v>
      </c>
    </row>
    <row r="19" spans="2:9" x14ac:dyDescent="0.45">
      <c r="B19" s="18" t="s">
        <v>19</v>
      </c>
      <c r="C19" s="18" t="s">
        <v>38</v>
      </c>
      <c r="D19" s="18" t="s">
        <v>39</v>
      </c>
      <c r="E19" s="10" t="s">
        <v>197</v>
      </c>
      <c r="F19" s="10" t="s">
        <v>198</v>
      </c>
      <c r="G19" s="18">
        <v>1000</v>
      </c>
      <c r="H19" s="18">
        <v>1100</v>
      </c>
      <c r="I19" s="12" t="s">
        <v>42</v>
      </c>
    </row>
    <row r="20" spans="2:9" x14ac:dyDescent="0.45">
      <c r="B20" s="18" t="s">
        <v>19</v>
      </c>
      <c r="C20" s="18" t="s">
        <v>38</v>
      </c>
      <c r="D20" s="18" t="s">
        <v>39</v>
      </c>
      <c r="E20" s="10" t="s">
        <v>199</v>
      </c>
      <c r="F20" s="10" t="s">
        <v>200</v>
      </c>
      <c r="G20" s="18">
        <v>1500</v>
      </c>
      <c r="H20" s="18">
        <v>2000</v>
      </c>
      <c r="I20" s="12" t="s">
        <v>43</v>
      </c>
    </row>
    <row r="21" spans="2:9" x14ac:dyDescent="0.45">
      <c r="B21" s="18" t="s">
        <v>19</v>
      </c>
      <c r="C21" s="18" t="s">
        <v>38</v>
      </c>
      <c r="D21" s="18" t="s">
        <v>39</v>
      </c>
      <c r="E21" s="10" t="s">
        <v>201</v>
      </c>
      <c r="F21" s="10" t="s">
        <v>202</v>
      </c>
      <c r="G21" s="18">
        <v>2000</v>
      </c>
      <c r="H21" s="18">
        <v>4000</v>
      </c>
      <c r="I21" s="12" t="s">
        <v>44</v>
      </c>
    </row>
    <row r="22" spans="2:9" x14ac:dyDescent="0.45">
      <c r="B22" s="18" t="s">
        <v>19</v>
      </c>
      <c r="C22" s="18" t="s">
        <v>38</v>
      </c>
      <c r="D22" s="18" t="s">
        <v>39</v>
      </c>
      <c r="E22" s="10" t="s">
        <v>203</v>
      </c>
      <c r="F22" s="10" t="s">
        <v>204</v>
      </c>
      <c r="G22" s="18">
        <v>3000</v>
      </c>
      <c r="H22" s="18">
        <v>11000</v>
      </c>
      <c r="I22" s="12" t="s">
        <v>45</v>
      </c>
    </row>
    <row r="23" spans="2:9" x14ac:dyDescent="0.45">
      <c r="B23" s="18" t="s">
        <v>19</v>
      </c>
      <c r="C23" s="18" t="s">
        <v>38</v>
      </c>
      <c r="D23" s="18" t="s">
        <v>39</v>
      </c>
      <c r="E23" s="10" t="s">
        <v>205</v>
      </c>
      <c r="F23" s="10" t="s">
        <v>177</v>
      </c>
      <c r="G23" s="18">
        <v>1500</v>
      </c>
      <c r="H23" s="18">
        <v>3500</v>
      </c>
      <c r="I23" s="12" t="s">
        <v>45</v>
      </c>
    </row>
    <row r="24" spans="2:9" x14ac:dyDescent="0.45">
      <c r="B24" s="18" t="s">
        <v>19</v>
      </c>
      <c r="C24" s="18" t="s">
        <v>46</v>
      </c>
      <c r="D24" s="18" t="s">
        <v>47</v>
      </c>
      <c r="E24" s="10" t="s">
        <v>206</v>
      </c>
      <c r="F24" s="10" t="s">
        <v>207</v>
      </c>
      <c r="G24" s="18">
        <v>2000</v>
      </c>
      <c r="H24" s="18">
        <v>2500</v>
      </c>
      <c r="I24" s="19" t="s">
        <v>49</v>
      </c>
    </row>
    <row r="25" spans="2:9" x14ac:dyDescent="0.45">
      <c r="B25" s="18" t="s">
        <v>19</v>
      </c>
      <c r="C25" s="18" t="s">
        <v>46</v>
      </c>
      <c r="D25" s="18" t="s">
        <v>47</v>
      </c>
      <c r="E25" s="10" t="s">
        <v>208</v>
      </c>
      <c r="F25" s="10" t="s">
        <v>209</v>
      </c>
      <c r="G25" s="18">
        <v>300</v>
      </c>
      <c r="H25" s="18">
        <v>500</v>
      </c>
      <c r="I25" s="19" t="s">
        <v>50</v>
      </c>
    </row>
    <row r="26" spans="2:9" x14ac:dyDescent="0.45">
      <c r="B26" s="18" t="s">
        <v>19</v>
      </c>
      <c r="C26" s="18" t="s">
        <v>46</v>
      </c>
      <c r="D26" s="18" t="s">
        <v>47</v>
      </c>
      <c r="E26" s="10" t="s">
        <v>210</v>
      </c>
      <c r="F26" s="10" t="s">
        <v>211</v>
      </c>
      <c r="G26" s="18">
        <v>1500</v>
      </c>
      <c r="H26" s="18">
        <v>11500</v>
      </c>
      <c r="I26" s="19" t="s">
        <v>50</v>
      </c>
    </row>
    <row r="27" spans="2:9" x14ac:dyDescent="0.45">
      <c r="B27" s="18" t="s">
        <v>19</v>
      </c>
      <c r="C27" s="18" t="s">
        <v>51</v>
      </c>
      <c r="D27" s="18" t="s">
        <v>52</v>
      </c>
      <c r="E27" s="10" t="s">
        <v>212</v>
      </c>
      <c r="F27" s="10" t="s">
        <v>213</v>
      </c>
      <c r="G27" s="18">
        <v>500</v>
      </c>
      <c r="H27" s="18">
        <v>500</v>
      </c>
      <c r="I27" s="12" t="s">
        <v>54</v>
      </c>
    </row>
    <row r="28" spans="2:9" x14ac:dyDescent="0.45">
      <c r="B28" s="18" t="s">
        <v>19</v>
      </c>
      <c r="C28" s="18" t="s">
        <v>51</v>
      </c>
      <c r="D28" s="18" t="s">
        <v>52</v>
      </c>
      <c r="E28" s="10" t="s">
        <v>214</v>
      </c>
      <c r="F28" s="10" t="s">
        <v>175</v>
      </c>
      <c r="G28" s="18">
        <v>2000</v>
      </c>
      <c r="H28" s="18">
        <v>2200</v>
      </c>
      <c r="I28" s="12" t="s">
        <v>54</v>
      </c>
    </row>
    <row r="29" spans="2:9" x14ac:dyDescent="0.45">
      <c r="B29" s="18" t="s">
        <v>19</v>
      </c>
      <c r="C29" s="18" t="s">
        <v>51</v>
      </c>
      <c r="D29" s="18" t="s">
        <v>52</v>
      </c>
      <c r="E29" s="10" t="s">
        <v>215</v>
      </c>
      <c r="F29" s="10" t="s">
        <v>184</v>
      </c>
      <c r="G29" s="18">
        <v>2000</v>
      </c>
      <c r="H29" s="18">
        <v>2000</v>
      </c>
      <c r="I29" s="12" t="s">
        <v>54</v>
      </c>
    </row>
    <row r="30" spans="2:9" x14ac:dyDescent="0.45">
      <c r="B30" s="18" t="s">
        <v>19</v>
      </c>
      <c r="C30" s="18" t="s">
        <v>51</v>
      </c>
      <c r="D30" s="18" t="s">
        <v>52</v>
      </c>
      <c r="E30" s="10" t="s">
        <v>216</v>
      </c>
      <c r="F30" s="10" t="s">
        <v>202</v>
      </c>
      <c r="G30" s="18">
        <v>2000</v>
      </c>
      <c r="H30" s="18">
        <v>5000</v>
      </c>
      <c r="I30" s="12" t="s">
        <v>217</v>
      </c>
    </row>
    <row r="31" spans="2:9" x14ac:dyDescent="0.45">
      <c r="B31" s="18" t="s">
        <v>19</v>
      </c>
      <c r="C31" s="18" t="s">
        <v>51</v>
      </c>
      <c r="D31" s="18" t="s">
        <v>52</v>
      </c>
      <c r="E31" s="10" t="s">
        <v>218</v>
      </c>
      <c r="F31" s="10" t="s">
        <v>177</v>
      </c>
      <c r="G31" s="18">
        <v>1500</v>
      </c>
      <c r="H31" s="18">
        <v>3500</v>
      </c>
      <c r="I31" s="12" t="s">
        <v>217</v>
      </c>
    </row>
    <row r="32" spans="2:9" x14ac:dyDescent="0.45">
      <c r="B32" s="18" t="s">
        <v>19</v>
      </c>
      <c r="C32" s="18" t="s">
        <v>51</v>
      </c>
      <c r="D32" s="18" t="s">
        <v>52</v>
      </c>
      <c r="E32" s="10" t="s">
        <v>219</v>
      </c>
      <c r="F32" s="10" t="s">
        <v>177</v>
      </c>
      <c r="G32" s="18">
        <v>1500</v>
      </c>
      <c r="H32" s="18">
        <v>3500</v>
      </c>
      <c r="I32" s="12" t="s">
        <v>217</v>
      </c>
    </row>
    <row r="33" spans="2:9" x14ac:dyDescent="0.45">
      <c r="B33" s="18" t="s">
        <v>19</v>
      </c>
      <c r="C33" s="18" t="s">
        <v>51</v>
      </c>
      <c r="D33" s="18" t="s">
        <v>52</v>
      </c>
      <c r="E33" s="10" t="s">
        <v>220</v>
      </c>
      <c r="F33" s="10" t="s">
        <v>177</v>
      </c>
      <c r="G33" s="18">
        <v>1500</v>
      </c>
      <c r="H33" s="18">
        <v>3500</v>
      </c>
      <c r="I33" s="12" t="s">
        <v>217</v>
      </c>
    </row>
    <row r="34" spans="2:9" x14ac:dyDescent="0.45">
      <c r="B34" s="18" t="s">
        <v>19</v>
      </c>
      <c r="C34" s="18" t="s">
        <v>51</v>
      </c>
      <c r="D34" s="18" t="s">
        <v>52</v>
      </c>
      <c r="E34" s="10" t="s">
        <v>221</v>
      </c>
      <c r="F34" s="10" t="s">
        <v>184</v>
      </c>
      <c r="G34" s="18">
        <v>2000</v>
      </c>
      <c r="H34" s="18">
        <v>6000</v>
      </c>
      <c r="I34" s="12" t="s">
        <v>217</v>
      </c>
    </row>
    <row r="35" spans="2:9" x14ac:dyDescent="0.45">
      <c r="B35" s="18" t="s">
        <v>19</v>
      </c>
      <c r="C35" s="18" t="s">
        <v>51</v>
      </c>
      <c r="D35" s="18" t="s">
        <v>52</v>
      </c>
      <c r="E35" s="10" t="s">
        <v>222</v>
      </c>
      <c r="F35" s="10" t="s">
        <v>184</v>
      </c>
      <c r="G35" s="18">
        <v>2000</v>
      </c>
      <c r="H35" s="18">
        <v>6000</v>
      </c>
      <c r="I35" s="12" t="s">
        <v>217</v>
      </c>
    </row>
    <row r="36" spans="2:9" x14ac:dyDescent="0.45">
      <c r="B36" s="18" t="s">
        <v>19</v>
      </c>
      <c r="C36" s="18" t="s">
        <v>51</v>
      </c>
      <c r="D36" s="18" t="s">
        <v>52</v>
      </c>
      <c r="E36" s="10" t="s">
        <v>223</v>
      </c>
      <c r="F36" s="10" t="s">
        <v>184</v>
      </c>
      <c r="G36" s="18">
        <v>2000</v>
      </c>
      <c r="H36" s="18">
        <v>6000</v>
      </c>
      <c r="I36" s="12" t="s">
        <v>217</v>
      </c>
    </row>
    <row r="37" spans="2:9" x14ac:dyDescent="0.45">
      <c r="B37" s="18" t="s">
        <v>19</v>
      </c>
      <c r="C37" s="18" t="s">
        <v>51</v>
      </c>
      <c r="D37" s="18" t="s">
        <v>52</v>
      </c>
      <c r="E37" s="10" t="s">
        <v>224</v>
      </c>
      <c r="F37" s="10" t="s">
        <v>225</v>
      </c>
      <c r="G37" s="18">
        <v>1500</v>
      </c>
      <c r="H37" s="18">
        <v>1500</v>
      </c>
      <c r="I37" s="12" t="s">
        <v>55</v>
      </c>
    </row>
    <row r="38" spans="2:9" x14ac:dyDescent="0.45">
      <c r="B38" s="18" t="s">
        <v>19</v>
      </c>
      <c r="C38" s="18" t="s">
        <v>51</v>
      </c>
      <c r="D38" s="18" t="s">
        <v>52</v>
      </c>
      <c r="E38" s="10" t="s">
        <v>226</v>
      </c>
      <c r="F38" s="10" t="s">
        <v>198</v>
      </c>
      <c r="G38" s="18">
        <v>500</v>
      </c>
      <c r="H38" s="18">
        <v>700</v>
      </c>
      <c r="I38" s="12" t="s">
        <v>55</v>
      </c>
    </row>
    <row r="39" spans="2:9" x14ac:dyDescent="0.45">
      <c r="B39" s="18" t="s">
        <v>19</v>
      </c>
      <c r="C39" s="18" t="s">
        <v>51</v>
      </c>
      <c r="D39" s="18" t="s">
        <v>52</v>
      </c>
      <c r="E39" s="10" t="s">
        <v>227</v>
      </c>
      <c r="F39" s="10" t="s">
        <v>198</v>
      </c>
      <c r="G39" s="18">
        <v>500</v>
      </c>
      <c r="H39" s="18">
        <v>700</v>
      </c>
      <c r="I39" s="12" t="s">
        <v>55</v>
      </c>
    </row>
    <row r="40" spans="2:9" x14ac:dyDescent="0.45">
      <c r="B40" s="18" t="s">
        <v>19</v>
      </c>
      <c r="C40" s="18" t="s">
        <v>51</v>
      </c>
      <c r="D40" s="18" t="s">
        <v>52</v>
      </c>
      <c r="E40" s="10" t="s">
        <v>228</v>
      </c>
      <c r="F40" s="10" t="s">
        <v>209</v>
      </c>
      <c r="G40" s="18">
        <v>300</v>
      </c>
      <c r="H40" s="18">
        <v>500</v>
      </c>
      <c r="I40" s="12" t="s">
        <v>55</v>
      </c>
    </row>
    <row r="41" spans="2:9" x14ac:dyDescent="0.45">
      <c r="B41" s="18" t="s">
        <v>19</v>
      </c>
      <c r="C41" s="18" t="s">
        <v>51</v>
      </c>
      <c r="D41" s="18" t="s">
        <v>52</v>
      </c>
      <c r="E41" s="10" t="s">
        <v>229</v>
      </c>
      <c r="F41" s="10" t="s">
        <v>225</v>
      </c>
      <c r="G41" s="18">
        <v>1500</v>
      </c>
      <c r="H41" s="18">
        <v>1500</v>
      </c>
      <c r="I41" s="12" t="s">
        <v>55</v>
      </c>
    </row>
    <row r="42" spans="2:9" x14ac:dyDescent="0.45">
      <c r="B42" s="18" t="s">
        <v>19</v>
      </c>
      <c r="C42" s="18" t="s">
        <v>51</v>
      </c>
      <c r="D42" s="18" t="s">
        <v>52</v>
      </c>
      <c r="E42" s="10" t="s">
        <v>230</v>
      </c>
      <c r="F42" s="10" t="s">
        <v>213</v>
      </c>
      <c r="G42" s="18">
        <v>500</v>
      </c>
      <c r="H42" s="18">
        <v>500</v>
      </c>
      <c r="I42" s="12" t="s">
        <v>56</v>
      </c>
    </row>
    <row r="43" spans="2:9" x14ac:dyDescent="0.45">
      <c r="B43" s="18" t="s">
        <v>19</v>
      </c>
      <c r="C43" s="18" t="s">
        <v>51</v>
      </c>
      <c r="D43" s="18" t="s">
        <v>52</v>
      </c>
      <c r="E43" s="10" t="s">
        <v>231</v>
      </c>
      <c r="F43" s="10" t="s">
        <v>198</v>
      </c>
      <c r="G43" s="18">
        <v>1800</v>
      </c>
      <c r="H43" s="18">
        <v>2000</v>
      </c>
      <c r="I43" s="12" t="s">
        <v>56</v>
      </c>
    </row>
    <row r="44" spans="2:9" x14ac:dyDescent="0.45">
      <c r="B44" s="18" t="s">
        <v>19</v>
      </c>
      <c r="C44" s="18" t="s">
        <v>51</v>
      </c>
      <c r="D44" s="18" t="s">
        <v>52</v>
      </c>
      <c r="E44" s="10" t="s">
        <v>232</v>
      </c>
      <c r="F44" s="10" t="s">
        <v>233</v>
      </c>
      <c r="G44" s="18">
        <v>2500</v>
      </c>
      <c r="H44" s="18">
        <v>10000</v>
      </c>
      <c r="I44" s="12" t="s">
        <v>56</v>
      </c>
    </row>
    <row r="45" spans="2:9" x14ac:dyDescent="0.45">
      <c r="B45" s="18" t="s">
        <v>19</v>
      </c>
      <c r="C45" s="18" t="s">
        <v>51</v>
      </c>
      <c r="D45" s="18" t="s">
        <v>52</v>
      </c>
      <c r="E45" s="10" t="s">
        <v>234</v>
      </c>
      <c r="F45" s="10" t="s">
        <v>213</v>
      </c>
      <c r="G45" s="18">
        <v>500</v>
      </c>
      <c r="H45" s="18">
        <v>500</v>
      </c>
      <c r="I45" s="12" t="s">
        <v>57</v>
      </c>
    </row>
    <row r="46" spans="2:9" x14ac:dyDescent="0.45">
      <c r="B46" s="18" t="s">
        <v>19</v>
      </c>
      <c r="C46" s="18" t="s">
        <v>51</v>
      </c>
      <c r="D46" s="18" t="s">
        <v>52</v>
      </c>
      <c r="E46" s="10" t="s">
        <v>235</v>
      </c>
      <c r="F46" s="10" t="s">
        <v>198</v>
      </c>
      <c r="G46" s="18">
        <v>1500</v>
      </c>
      <c r="H46" s="18">
        <v>1600</v>
      </c>
      <c r="I46" s="12" t="s">
        <v>57</v>
      </c>
    </row>
    <row r="47" spans="2:9" x14ac:dyDescent="0.45">
      <c r="B47" s="18" t="s">
        <v>19</v>
      </c>
      <c r="C47" s="18" t="s">
        <v>51</v>
      </c>
      <c r="D47" s="18" t="s">
        <v>52</v>
      </c>
      <c r="E47" s="10" t="s">
        <v>236</v>
      </c>
      <c r="F47" s="10" t="s">
        <v>177</v>
      </c>
      <c r="G47" s="18">
        <v>1500</v>
      </c>
      <c r="H47" s="18">
        <v>3500</v>
      </c>
      <c r="I47" s="12" t="s">
        <v>57</v>
      </c>
    </row>
    <row r="48" spans="2:9" x14ac:dyDescent="0.45">
      <c r="B48" s="18" t="s">
        <v>19</v>
      </c>
      <c r="C48" s="18" t="s">
        <v>51</v>
      </c>
      <c r="D48" s="18" t="s">
        <v>52</v>
      </c>
      <c r="E48" s="10" t="s">
        <v>237</v>
      </c>
      <c r="F48" s="10" t="s">
        <v>238</v>
      </c>
      <c r="G48" s="18">
        <v>500</v>
      </c>
      <c r="H48" s="18">
        <v>500</v>
      </c>
      <c r="I48" s="12" t="s">
        <v>58</v>
      </c>
    </row>
    <row r="49" spans="2:9" x14ac:dyDescent="0.45">
      <c r="B49" s="18" t="s">
        <v>19</v>
      </c>
      <c r="C49" s="18" t="s">
        <v>51</v>
      </c>
      <c r="D49" s="18" t="s">
        <v>60</v>
      </c>
      <c r="E49" s="10" t="s">
        <v>239</v>
      </c>
      <c r="F49" s="10" t="s">
        <v>177</v>
      </c>
      <c r="G49" s="18">
        <v>1500</v>
      </c>
      <c r="H49" s="18">
        <v>1500</v>
      </c>
      <c r="I49" s="12" t="s">
        <v>58</v>
      </c>
    </row>
    <row r="50" spans="2:9" x14ac:dyDescent="0.45">
      <c r="B50" s="18" t="s">
        <v>19</v>
      </c>
      <c r="C50" s="18" t="s">
        <v>59</v>
      </c>
      <c r="D50" s="18" t="s">
        <v>60</v>
      </c>
      <c r="E50" s="10" t="s">
        <v>240</v>
      </c>
      <c r="F50" s="10" t="s">
        <v>241</v>
      </c>
      <c r="G50" s="18">
        <v>1000</v>
      </c>
      <c r="H50" s="18">
        <v>1000</v>
      </c>
      <c r="I50" s="19" t="s">
        <v>62</v>
      </c>
    </row>
    <row r="51" spans="2:9" x14ac:dyDescent="0.45">
      <c r="B51" s="18" t="s">
        <v>19</v>
      </c>
      <c r="C51" s="18" t="s">
        <v>59</v>
      </c>
      <c r="D51" s="18" t="s">
        <v>60</v>
      </c>
      <c r="E51" s="10" t="s">
        <v>242</v>
      </c>
      <c r="F51" s="10" t="s">
        <v>175</v>
      </c>
      <c r="G51" s="18">
        <v>800</v>
      </c>
      <c r="H51" s="18">
        <v>1300</v>
      </c>
      <c r="I51" s="19" t="s">
        <v>62</v>
      </c>
    </row>
    <row r="52" spans="2:9" x14ac:dyDescent="0.45">
      <c r="B52" s="18" t="s">
        <v>19</v>
      </c>
      <c r="C52" s="18" t="s">
        <v>59</v>
      </c>
      <c r="D52" s="18" t="s">
        <v>60</v>
      </c>
      <c r="E52" s="10" t="s">
        <v>243</v>
      </c>
      <c r="F52" s="10" t="s">
        <v>184</v>
      </c>
      <c r="G52" s="18">
        <v>2000</v>
      </c>
      <c r="H52" s="18">
        <v>7000</v>
      </c>
      <c r="I52" s="19" t="s">
        <v>62</v>
      </c>
    </row>
    <row r="53" spans="2:9" x14ac:dyDescent="0.45">
      <c r="B53" s="18" t="s">
        <v>19</v>
      </c>
      <c r="C53" s="18" t="s">
        <v>59</v>
      </c>
      <c r="D53" s="18" t="s">
        <v>60</v>
      </c>
      <c r="E53" s="10" t="s">
        <v>244</v>
      </c>
      <c r="F53" s="10" t="s">
        <v>175</v>
      </c>
      <c r="G53" s="18">
        <v>800</v>
      </c>
      <c r="H53" s="18">
        <v>800</v>
      </c>
      <c r="I53" s="19" t="s">
        <v>62</v>
      </c>
    </row>
    <row r="54" spans="2:9" x14ac:dyDescent="0.45">
      <c r="B54" s="18" t="s">
        <v>19</v>
      </c>
      <c r="C54" s="18" t="s">
        <v>59</v>
      </c>
      <c r="D54" s="18" t="s">
        <v>60</v>
      </c>
      <c r="E54" s="10" t="s">
        <v>245</v>
      </c>
      <c r="F54" s="10" t="s">
        <v>238</v>
      </c>
      <c r="G54" s="18">
        <v>200</v>
      </c>
      <c r="H54" s="18">
        <v>200</v>
      </c>
      <c r="I54" s="19" t="s">
        <v>63</v>
      </c>
    </row>
    <row r="55" spans="2:9" x14ac:dyDescent="0.45">
      <c r="B55" s="18" t="s">
        <v>19</v>
      </c>
      <c r="C55" s="18" t="s">
        <v>59</v>
      </c>
      <c r="D55" s="18" t="s">
        <v>60</v>
      </c>
      <c r="E55" s="10" t="s">
        <v>246</v>
      </c>
      <c r="F55" s="10" t="s">
        <v>238</v>
      </c>
      <c r="G55" s="18">
        <v>200</v>
      </c>
      <c r="H55" s="18">
        <v>200</v>
      </c>
      <c r="I55" s="19" t="s">
        <v>64</v>
      </c>
    </row>
    <row r="56" spans="2:9" x14ac:dyDescent="0.45">
      <c r="B56" s="18" t="s">
        <v>19</v>
      </c>
      <c r="C56" s="18" t="s">
        <v>115</v>
      </c>
      <c r="D56" s="18" t="s">
        <v>116</v>
      </c>
      <c r="E56" s="10" t="s">
        <v>247</v>
      </c>
      <c r="F56" s="10" t="s">
        <v>248</v>
      </c>
      <c r="G56" s="18">
        <v>500</v>
      </c>
      <c r="H56" s="18">
        <v>600</v>
      </c>
      <c r="I56" s="10"/>
    </row>
    <row r="57" spans="2:9" x14ac:dyDescent="0.45">
      <c r="B57" s="18" t="s">
        <v>19</v>
      </c>
      <c r="C57" s="18" t="s">
        <v>115</v>
      </c>
      <c r="D57" s="18" t="s">
        <v>116</v>
      </c>
      <c r="E57" s="10" t="s">
        <v>249</v>
      </c>
      <c r="F57" s="10" t="s">
        <v>248</v>
      </c>
      <c r="G57" s="18">
        <v>2000</v>
      </c>
      <c r="H57" s="18">
        <v>2000</v>
      </c>
      <c r="I57" s="10"/>
    </row>
    <row r="58" spans="2:9" x14ac:dyDescent="0.45">
      <c r="B58" s="18" t="s">
        <v>19</v>
      </c>
      <c r="C58" s="18" t="s">
        <v>125</v>
      </c>
      <c r="D58" s="18" t="s">
        <v>126</v>
      </c>
      <c r="E58" s="19" t="s">
        <v>250</v>
      </c>
      <c r="F58" s="10" t="s">
        <v>248</v>
      </c>
      <c r="G58" s="18">
        <v>1500</v>
      </c>
      <c r="H58" s="18">
        <v>1500</v>
      </c>
      <c r="I58" s="10"/>
    </row>
    <row r="59" spans="2:9" x14ac:dyDescent="0.45">
      <c r="B59" s="18" t="s">
        <v>127</v>
      </c>
      <c r="C59" s="18" t="s">
        <v>130</v>
      </c>
      <c r="D59" s="18" t="s">
        <v>131</v>
      </c>
      <c r="E59" s="10" t="s">
        <v>251</v>
      </c>
      <c r="F59" s="10" t="s">
        <v>252</v>
      </c>
      <c r="G59" s="18">
        <v>200</v>
      </c>
      <c r="H59" s="18">
        <v>250</v>
      </c>
      <c r="I59" s="10"/>
    </row>
    <row r="60" spans="2:9" x14ac:dyDescent="0.45">
      <c r="B60" s="18" t="s">
        <v>127</v>
      </c>
      <c r="C60" s="18" t="s">
        <v>130</v>
      </c>
      <c r="D60" s="18" t="s">
        <v>131</v>
      </c>
      <c r="E60" s="10" t="s">
        <v>253</v>
      </c>
      <c r="F60" s="10" t="s">
        <v>252</v>
      </c>
      <c r="G60" s="18">
        <v>200</v>
      </c>
      <c r="H60" s="18">
        <v>250</v>
      </c>
      <c r="I60" s="10"/>
    </row>
    <row r="61" spans="2:9" x14ac:dyDescent="0.45">
      <c r="B61" s="18" t="s">
        <v>127</v>
      </c>
      <c r="C61" s="18" t="s">
        <v>130</v>
      </c>
      <c r="D61" s="18" t="s">
        <v>131</v>
      </c>
      <c r="E61" s="10" t="s">
        <v>254</v>
      </c>
      <c r="F61" s="10" t="s">
        <v>252</v>
      </c>
      <c r="G61" s="18">
        <v>200</v>
      </c>
      <c r="H61" s="18">
        <v>250</v>
      </c>
      <c r="I61" s="10"/>
    </row>
    <row r="62" spans="2:9" x14ac:dyDescent="0.45">
      <c r="B62" s="18" t="s">
        <v>127</v>
      </c>
      <c r="C62" s="18" t="s">
        <v>130</v>
      </c>
      <c r="D62" s="18" t="s">
        <v>131</v>
      </c>
      <c r="E62" s="10" t="s">
        <v>255</v>
      </c>
      <c r="F62" s="10" t="s">
        <v>252</v>
      </c>
      <c r="G62" s="18">
        <v>200</v>
      </c>
      <c r="H62" s="18">
        <v>250</v>
      </c>
      <c r="I62" s="10"/>
    </row>
    <row r="63" spans="2:9" x14ac:dyDescent="0.45">
      <c r="B63" s="18" t="s">
        <v>127</v>
      </c>
      <c r="C63" s="18" t="s">
        <v>132</v>
      </c>
      <c r="D63" s="18" t="s">
        <v>133</v>
      </c>
      <c r="E63" s="10" t="s">
        <v>256</v>
      </c>
      <c r="F63" s="10" t="s">
        <v>257</v>
      </c>
      <c r="G63" s="18">
        <v>150</v>
      </c>
      <c r="H63" s="18">
        <v>200</v>
      </c>
      <c r="I63" s="10"/>
    </row>
    <row r="64" spans="2:9" x14ac:dyDescent="0.45">
      <c r="B64" s="18" t="s">
        <v>127</v>
      </c>
      <c r="C64" s="18" t="s">
        <v>132</v>
      </c>
      <c r="D64" s="18" t="s">
        <v>133</v>
      </c>
      <c r="E64" s="10" t="s">
        <v>258</v>
      </c>
      <c r="F64" s="10" t="s">
        <v>257</v>
      </c>
      <c r="G64" s="18">
        <v>150</v>
      </c>
      <c r="H64" s="18">
        <v>200</v>
      </c>
      <c r="I64" s="10"/>
    </row>
    <row r="65" spans="2:9" x14ac:dyDescent="0.45">
      <c r="B65" s="18" t="s">
        <v>127</v>
      </c>
      <c r="C65" s="18" t="s">
        <v>132</v>
      </c>
      <c r="D65" s="18" t="s">
        <v>133</v>
      </c>
      <c r="E65" s="10" t="s">
        <v>259</v>
      </c>
      <c r="F65" s="10" t="s">
        <v>257</v>
      </c>
      <c r="G65" s="18">
        <v>150</v>
      </c>
      <c r="H65" s="18">
        <v>200</v>
      </c>
      <c r="I65" s="10"/>
    </row>
    <row r="66" spans="2:9" x14ac:dyDescent="0.45">
      <c r="B66" s="18" t="s">
        <v>127</v>
      </c>
      <c r="C66" s="18" t="s">
        <v>134</v>
      </c>
      <c r="D66" s="18" t="s">
        <v>135</v>
      </c>
      <c r="E66" s="10" t="s">
        <v>260</v>
      </c>
      <c r="F66" s="10" t="s">
        <v>261</v>
      </c>
      <c r="G66" s="18">
        <v>200</v>
      </c>
      <c r="H66" s="18">
        <v>200</v>
      </c>
      <c r="I66" s="10"/>
    </row>
    <row r="67" spans="2:9" x14ac:dyDescent="0.45">
      <c r="B67" s="18" t="s">
        <v>127</v>
      </c>
      <c r="C67" s="18" t="s">
        <v>134</v>
      </c>
      <c r="D67" s="18" t="s">
        <v>135</v>
      </c>
      <c r="E67" s="10" t="s">
        <v>262</v>
      </c>
      <c r="F67" s="10" t="s">
        <v>261</v>
      </c>
      <c r="G67" s="18">
        <v>200</v>
      </c>
      <c r="H67" s="18">
        <v>200</v>
      </c>
      <c r="I67" s="10"/>
    </row>
    <row r="68" spans="2:9" x14ac:dyDescent="0.45">
      <c r="B68" s="18" t="s">
        <v>127</v>
      </c>
      <c r="C68" s="18" t="s">
        <v>147</v>
      </c>
      <c r="D68" s="18" t="s">
        <v>148</v>
      </c>
      <c r="E68" s="19" t="s">
        <v>263</v>
      </c>
      <c r="F68" s="10" t="s">
        <v>264</v>
      </c>
      <c r="G68" s="18">
        <v>2000</v>
      </c>
      <c r="H68" s="18">
        <v>4000</v>
      </c>
      <c r="I68" s="10"/>
    </row>
    <row r="69" spans="2:9" x14ac:dyDescent="0.45">
      <c r="B69" s="18"/>
      <c r="C69" s="18"/>
      <c r="D69" s="18"/>
      <c r="E69" s="10"/>
      <c r="F69" s="10"/>
      <c r="G69" s="18"/>
      <c r="H69" s="18"/>
      <c r="I69" s="10"/>
    </row>
    <row r="70" spans="2:9" x14ac:dyDescent="0.45">
      <c r="B70" s="18"/>
      <c r="C70" s="18"/>
      <c r="D70" s="18"/>
      <c r="E70" s="10"/>
      <c r="F70" s="10"/>
      <c r="G70" s="18"/>
      <c r="H70" s="18"/>
      <c r="I70" s="10"/>
    </row>
    <row r="71" spans="2:9" x14ac:dyDescent="0.45">
      <c r="B71" s="18"/>
      <c r="C71" s="18"/>
      <c r="D71" s="18"/>
      <c r="E71" s="10"/>
      <c r="F71" s="10"/>
      <c r="G71" s="18"/>
      <c r="H71" s="18"/>
      <c r="I71" s="10"/>
    </row>
    <row r="72" spans="2:9" x14ac:dyDescent="0.45">
      <c r="B72" s="18"/>
      <c r="C72" s="18"/>
      <c r="D72" s="18"/>
      <c r="E72" s="10"/>
      <c r="F72" s="10"/>
      <c r="G72" s="18"/>
      <c r="H72" s="18"/>
      <c r="I72" s="10"/>
    </row>
    <row r="73" spans="2:9" x14ac:dyDescent="0.45">
      <c r="B73" s="18"/>
      <c r="C73" s="18"/>
      <c r="D73" s="18"/>
      <c r="E73" s="10"/>
      <c r="F73" s="10"/>
      <c r="G73" s="18"/>
      <c r="H73" s="18"/>
      <c r="I73" s="10"/>
    </row>
    <row r="74" spans="2:9" x14ac:dyDescent="0.45">
      <c r="B74" s="18"/>
      <c r="C74" s="18"/>
      <c r="D74" s="18"/>
      <c r="E74" s="10"/>
      <c r="F74" s="10"/>
      <c r="G74" s="18"/>
      <c r="H74" s="18"/>
      <c r="I74" s="10"/>
    </row>
    <row r="75" spans="2:9" x14ac:dyDescent="0.45">
      <c r="B75" s="18"/>
      <c r="C75" s="18"/>
      <c r="D75" s="18"/>
      <c r="E75" s="10"/>
      <c r="F75" s="10"/>
      <c r="G75" s="18"/>
      <c r="H75" s="18"/>
      <c r="I75" s="10"/>
    </row>
    <row r="76" spans="2:9" x14ac:dyDescent="0.45">
      <c r="B76" s="18"/>
      <c r="C76" s="18"/>
      <c r="D76" s="18"/>
      <c r="E76" s="10"/>
      <c r="F76" s="10"/>
      <c r="G76" s="18"/>
      <c r="H76" s="18"/>
      <c r="I76" s="10"/>
    </row>
    <row r="77" spans="2:9" x14ac:dyDescent="0.45">
      <c r="B77" s="18"/>
      <c r="C77" s="18"/>
      <c r="D77" s="18"/>
      <c r="E77" s="10"/>
      <c r="F77" s="10"/>
      <c r="G77" s="18"/>
      <c r="H77" s="18"/>
      <c r="I77" s="10"/>
    </row>
    <row r="78" spans="2:9" x14ac:dyDescent="0.45">
      <c r="B78" s="18"/>
      <c r="C78" s="18"/>
      <c r="D78" s="18"/>
      <c r="E78" s="10"/>
      <c r="F78" s="10"/>
      <c r="G78" s="18"/>
      <c r="H78" s="18"/>
      <c r="I78" s="10"/>
    </row>
    <row r="79" spans="2:9" x14ac:dyDescent="0.45">
      <c r="B79" s="18"/>
      <c r="C79" s="18"/>
      <c r="D79" s="18"/>
      <c r="E79" s="10"/>
      <c r="F79" s="10"/>
      <c r="G79" s="18"/>
      <c r="H79" s="18"/>
      <c r="I79" s="10"/>
    </row>
    <row r="80" spans="2:9" x14ac:dyDescent="0.45">
      <c r="B80" s="18"/>
      <c r="C80" s="18"/>
      <c r="D80" s="18"/>
      <c r="E80" s="10"/>
      <c r="F80" s="10"/>
      <c r="G80" s="18"/>
      <c r="H80" s="18"/>
      <c r="I80" s="10"/>
    </row>
    <row r="81" spans="2:9" x14ac:dyDescent="0.45">
      <c r="B81" s="18"/>
      <c r="C81" s="18"/>
      <c r="D81" s="18"/>
      <c r="E81" s="10"/>
      <c r="F81" s="10"/>
      <c r="G81" s="18"/>
      <c r="H81" s="18"/>
      <c r="I81" s="10"/>
    </row>
    <row r="82" spans="2:9" x14ac:dyDescent="0.45">
      <c r="B82" s="18"/>
      <c r="C82" s="18"/>
      <c r="D82" s="18"/>
      <c r="E82" s="10"/>
      <c r="F82" s="10"/>
      <c r="G82" s="18"/>
      <c r="H82" s="18"/>
      <c r="I82" s="10"/>
    </row>
    <row r="83" spans="2:9" x14ac:dyDescent="0.45">
      <c r="B83" s="18"/>
      <c r="C83" s="18"/>
      <c r="D83" s="18"/>
      <c r="E83" s="10"/>
      <c r="F83" s="10"/>
      <c r="G83" s="18"/>
      <c r="H83" s="18"/>
      <c r="I83" s="10"/>
    </row>
    <row r="84" spans="2:9" x14ac:dyDescent="0.45">
      <c r="B84" s="18"/>
      <c r="C84" s="18"/>
      <c r="D84" s="18"/>
      <c r="E84" s="10"/>
      <c r="F84" s="10"/>
      <c r="G84" s="18"/>
      <c r="H84" s="18"/>
      <c r="I84" s="10"/>
    </row>
    <row r="85" spans="2:9" x14ac:dyDescent="0.45">
      <c r="B85" s="18"/>
      <c r="C85" s="18"/>
      <c r="D85" s="18"/>
      <c r="E85" s="10"/>
      <c r="F85" s="10"/>
      <c r="G85" s="18"/>
      <c r="H85" s="18"/>
      <c r="I85" s="10"/>
    </row>
    <row r="86" spans="2:9" x14ac:dyDescent="0.45">
      <c r="B86" s="18"/>
      <c r="C86" s="18"/>
      <c r="D86" s="18"/>
      <c r="E86" s="10"/>
      <c r="F86" s="10"/>
      <c r="G86" s="18"/>
      <c r="H86" s="18"/>
      <c r="I86" s="10"/>
    </row>
    <row r="87" spans="2:9" x14ac:dyDescent="0.45">
      <c r="B87" s="18"/>
      <c r="C87" s="18"/>
      <c r="D87" s="18"/>
      <c r="E87" s="10"/>
      <c r="F87" s="10"/>
      <c r="G87" s="18"/>
      <c r="H87" s="18"/>
      <c r="I87" s="10"/>
    </row>
    <row r="88" spans="2:9" x14ac:dyDescent="0.45">
      <c r="B88" s="18"/>
      <c r="C88" s="18"/>
      <c r="D88" s="18"/>
      <c r="E88" s="10"/>
      <c r="F88" s="10"/>
      <c r="G88" s="18"/>
      <c r="H88" s="18"/>
      <c r="I88" s="10"/>
    </row>
    <row r="89" spans="2:9" x14ac:dyDescent="0.45">
      <c r="B89" s="18"/>
      <c r="C89" s="18"/>
      <c r="D89" s="18"/>
      <c r="E89" s="10"/>
      <c r="F89" s="10"/>
      <c r="G89" s="18"/>
      <c r="H89" s="18"/>
      <c r="I89" s="10"/>
    </row>
    <row r="90" spans="2:9" x14ac:dyDescent="0.45">
      <c r="B90" s="18"/>
      <c r="C90" s="18"/>
      <c r="D90" s="18"/>
      <c r="E90" s="10"/>
      <c r="F90" s="10"/>
      <c r="G90" s="18"/>
      <c r="H90" s="18"/>
      <c r="I90" s="10"/>
    </row>
    <row r="91" spans="2:9" x14ac:dyDescent="0.45">
      <c r="B91" s="18"/>
      <c r="C91" s="18"/>
      <c r="D91" s="18"/>
      <c r="E91" s="10"/>
      <c r="F91" s="10"/>
      <c r="G91" s="18"/>
      <c r="H91" s="18"/>
      <c r="I91" s="10"/>
    </row>
    <row r="92" spans="2:9" x14ac:dyDescent="0.45">
      <c r="B92" s="18"/>
      <c r="C92" s="18"/>
      <c r="D92" s="18"/>
      <c r="E92" s="10"/>
      <c r="F92" s="10"/>
      <c r="G92" s="18"/>
      <c r="H92" s="18"/>
      <c r="I92" s="10"/>
    </row>
    <row r="93" spans="2:9" x14ac:dyDescent="0.45">
      <c r="B93" s="18"/>
      <c r="C93" s="18"/>
      <c r="D93" s="18"/>
      <c r="E93" s="10"/>
      <c r="F93" s="10"/>
      <c r="G93" s="18"/>
      <c r="H93" s="18"/>
      <c r="I93" s="10"/>
    </row>
    <row r="94" spans="2:9" x14ac:dyDescent="0.45">
      <c r="B94" s="18"/>
      <c r="C94" s="18"/>
      <c r="D94" s="18"/>
      <c r="E94" s="10"/>
      <c r="F94" s="10"/>
      <c r="G94" s="18"/>
      <c r="H94" s="18"/>
      <c r="I94" s="10"/>
    </row>
    <row r="95" spans="2:9" x14ac:dyDescent="0.45">
      <c r="B95" s="18"/>
      <c r="C95" s="18"/>
      <c r="D95" s="18"/>
      <c r="E95" s="10"/>
      <c r="F95" s="10"/>
      <c r="G95" s="18"/>
      <c r="H95" s="18"/>
      <c r="I95" s="10"/>
    </row>
    <row r="96" spans="2:9" x14ac:dyDescent="0.45">
      <c r="B96" s="18"/>
      <c r="C96" s="18"/>
      <c r="D96" s="18"/>
      <c r="E96" s="10"/>
      <c r="F96" s="10"/>
      <c r="G96" s="18"/>
      <c r="H96" s="18"/>
      <c r="I96" s="10"/>
    </row>
    <row r="97" spans="4:4" x14ac:dyDescent="0.45">
      <c r="D97" s="3"/>
    </row>
    <row r="98" spans="4:4" x14ac:dyDescent="0.45">
      <c r="D98" s="3"/>
    </row>
    <row r="99" spans="4:4" x14ac:dyDescent="0.45">
      <c r="D99" s="3"/>
    </row>
    <row r="100" spans="4:4" x14ac:dyDescent="0.45">
      <c r="D100" s="3"/>
    </row>
    <row r="101" spans="4:4" x14ac:dyDescent="0.45">
      <c r="D101" s="3"/>
    </row>
    <row r="102" spans="4:4" x14ac:dyDescent="0.45">
      <c r="D102" s="3"/>
    </row>
    <row r="103" spans="4:4" x14ac:dyDescent="0.45">
      <c r="D103" s="3"/>
    </row>
    <row r="104" spans="4:4" x14ac:dyDescent="0.45">
      <c r="D104" s="3"/>
    </row>
    <row r="105" spans="4:4" x14ac:dyDescent="0.45">
      <c r="D105" s="3"/>
    </row>
  </sheetData>
  <phoneticPr fontId="2" type="noConversion"/>
  <dataValidations count="3">
    <dataValidation type="list" allowBlank="1" showInputMessage="1" showErrorMessage="1" sqref="B97:B105" xr:uid="{00000000-0002-0000-0200-000000000000}">
      <formula1>"주공정 구역, 보조 구역, None"</formula1>
    </dataValidation>
    <dataValidation type="list" allowBlank="1" showInputMessage="1" showErrorMessage="1" sqref="C97:H105" xr:uid="{00000000-0002-0000-0200-000001000000}">
      <formula1>"None"</formula1>
    </dataValidation>
    <dataValidation type="list" allowBlank="1" showInputMessage="1" showErrorMessage="1" sqref="B4:B96" xr:uid="{00000000-0002-0000-0200-000002000000}">
      <formula1>"주공정 구역, 보조 구역, NC 구역"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제조공정 흐름도</vt:lpstr>
      <vt:lpstr>Room 요구 규격서</vt:lpstr>
      <vt:lpstr>제조 장비 규격서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지창완</dc:creator>
  <cp:lastModifiedBy>Namho Kim</cp:lastModifiedBy>
  <dcterms:created xsi:type="dcterms:W3CDTF">2026-04-12T13:14:32Z</dcterms:created>
  <dcterms:modified xsi:type="dcterms:W3CDTF">2026-06-07T08:33:17Z</dcterms:modified>
</cp:coreProperties>
</file>